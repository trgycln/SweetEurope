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BuÇalışmaKitabı"/>
  <bookViews>
    <workbookView xWindow="-120" yWindow="-120" windowWidth="20730" windowHeight="11760" tabRatio="903"/>
  </bookViews>
  <sheets>
    <sheet name="Kahve" sheetId="17" r:id="rId1"/>
    <sheet name="Pasta" sheetId="11" r:id="rId2"/>
    <sheet name="Otel" sheetId="14" r:id="rId3"/>
    <sheet name="Market" sheetId="16" r:id="rId4"/>
  </sheets>
  <definedNames>
    <definedName name="_xlnm._FilterDatabase" localSheetId="0" hidden="1">Kahve!$A$5:$F$212</definedName>
    <definedName name="_xlnm._FilterDatabase" localSheetId="3" hidden="1">Market!$B$6:$H$26</definedName>
    <definedName name="_xlnm._FilterDatabase" localSheetId="2" hidden="1">Otel!$B$6:$H$45</definedName>
    <definedName name="_xlnm._FilterDatabase" localSheetId="1" hidden="1">Pasta!$A$6:$F$117</definedName>
    <definedName name="_xlnm.Print_Area" localSheetId="0">Kahve!$B$1:$F$215</definedName>
    <definedName name="_xlnm.Print_Area" localSheetId="3">Market!$C$2:$H$26</definedName>
    <definedName name="_xlnm.Print_Area" localSheetId="2">Otel!$C$2:$H$45</definedName>
    <definedName name="_xlnm.Print_Area" localSheetId="1">Pasta!$A$2:$F$117</definedName>
    <definedName name="_xlnm.Print_Titles" localSheetId="0">Kahve!$1:$5</definedName>
    <definedName name="_xlnm.Print_Titles" localSheetId="3">Market!$2:$6</definedName>
    <definedName name="_xlnm.Print_Titles" localSheetId="2">Otel!$2:$6</definedName>
    <definedName name="_xlnm.Print_Titles" localSheetId="1">Pasta!$2:$6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1" l="1"/>
  <c r="D18" i="11"/>
  <c r="D17" i="11"/>
  <c r="D20" i="11"/>
  <c r="D72" i="11"/>
  <c r="D73" i="11"/>
  <c r="D74" i="11"/>
  <c r="D75" i="11"/>
  <c r="D71" i="11" l="1"/>
  <c r="D76" i="11" l="1"/>
  <c r="D77" i="11"/>
  <c r="D32" i="11"/>
  <c r="D45" i="11"/>
  <c r="F27" i="14" l="1"/>
  <c r="F28" i="14"/>
  <c r="F29" i="14"/>
  <c r="F30" i="14"/>
  <c r="F31" i="14"/>
  <c r="F32" i="14"/>
  <c r="F33" i="14"/>
  <c r="F34" i="14"/>
  <c r="F35" i="14"/>
  <c r="F36" i="14"/>
  <c r="F37" i="14"/>
  <c r="F38" i="14"/>
  <c r="F39" i="14"/>
  <c r="D99" i="11" l="1"/>
  <c r="D81" i="11"/>
  <c r="D80" i="11"/>
  <c r="D79" i="11"/>
  <c r="D78" i="11"/>
  <c r="D83" i="11"/>
  <c r="D82" i="11"/>
  <c r="D31" i="11"/>
  <c r="D14" i="11"/>
  <c r="F21" i="16"/>
  <c r="F20" i="16"/>
  <c r="F19" i="16"/>
  <c r="F18" i="16"/>
  <c r="F17" i="16"/>
  <c r="F16" i="16"/>
  <c r="F14" i="16"/>
  <c r="F13" i="16"/>
  <c r="F12" i="16"/>
  <c r="F11" i="16"/>
  <c r="F9" i="16"/>
  <c r="F8" i="16"/>
  <c r="F25" i="14" l="1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D100" i="11"/>
  <c r="D98" i="11"/>
  <c r="D97" i="11"/>
  <c r="D96" i="11"/>
  <c r="D95" i="11"/>
  <c r="D93" i="11"/>
  <c r="D92" i="11"/>
  <c r="D91" i="11"/>
  <c r="D90" i="11"/>
  <c r="D89" i="11"/>
  <c r="D88" i="11"/>
  <c r="D87" i="11"/>
  <c r="D86" i="11"/>
  <c r="D85" i="11"/>
  <c r="D84" i="11"/>
  <c r="D69" i="11"/>
  <c r="D68" i="11"/>
  <c r="D67" i="11"/>
  <c r="D65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6" i="11"/>
  <c r="D47" i="11"/>
  <c r="D43" i="11"/>
  <c r="D42" i="11"/>
  <c r="D41" i="11"/>
  <c r="D40" i="11"/>
  <c r="D39" i="11"/>
  <c r="D38" i="11"/>
  <c r="D37" i="11"/>
  <c r="D36" i="11"/>
  <c r="D35" i="11"/>
  <c r="D34" i="11"/>
  <c r="D33" i="11"/>
  <c r="D30" i="11"/>
  <c r="D29" i="11"/>
  <c r="D28" i="11"/>
  <c r="D27" i="11"/>
  <c r="D26" i="11"/>
  <c r="D25" i="11"/>
  <c r="D24" i="11"/>
  <c r="D23" i="11"/>
  <c r="D22" i="11"/>
  <c r="D21" i="11"/>
  <c r="D15" i="11"/>
  <c r="D13" i="11"/>
  <c r="D12" i="11"/>
  <c r="D11" i="11"/>
  <c r="D10" i="11"/>
  <c r="D9" i="11"/>
  <c r="D8" i="11"/>
</calcChain>
</file>

<file path=xl/connections.xml><?xml version="1.0" encoding="utf-8"?>
<connections xmlns="http://schemas.openxmlformats.org/spreadsheetml/2006/main">
  <connection id="1" keepAlive="1" name="Sorgu - NR_001_AMBAR_MEVCUT_LOTLU" description="Çalışma kitabındaki 'NR_001_AMBAR_MEVCUT_LOTLU' sorgusuna yönelik bağlantı." type="5" refreshedVersion="8" background="1" saveData="1">
    <dbPr connection="Provider=Microsoft.Mashup.OleDb.1;Data Source=$Workbook$;Location=NR_001_AMBAR_MEVCUT_LOTLU;Extended Properties=&quot;&quot;" command="SELECT * FROM [NR_001_AMBAR_MEVCUT_LOTLU]"/>
  </connection>
</connections>
</file>

<file path=xl/sharedStrings.xml><?xml version="1.0" encoding="utf-8"?>
<sst xmlns="http://schemas.openxmlformats.org/spreadsheetml/2006/main" count="1097" uniqueCount="713">
  <si>
    <t>Espresso</t>
  </si>
  <si>
    <t>MM10120</t>
  </si>
  <si>
    <t>Premıum Çekirdek Kahve-1000 Gr</t>
  </si>
  <si>
    <t>MM10119</t>
  </si>
  <si>
    <t>Platınum Blend Çekirdek Kahve-1000 Gr</t>
  </si>
  <si>
    <t>MM10117</t>
  </si>
  <si>
    <t>Classıc Green Blend Çekirdek Kahve-1000 Gr</t>
  </si>
  <si>
    <t>MM11048</t>
  </si>
  <si>
    <t>Classıc Blue Blend Çekirdek Kahve-1000 Gr</t>
  </si>
  <si>
    <t>Ambalaj</t>
  </si>
  <si>
    <t>Ürün Kodu</t>
  </si>
  <si>
    <t>Ürün Adı</t>
  </si>
  <si>
    <t>Koli İçi</t>
  </si>
  <si>
    <t>Poşet</t>
  </si>
  <si>
    <t>Filtre Kahve</t>
  </si>
  <si>
    <t>MM10611</t>
  </si>
  <si>
    <t>Filtre Kahve Sade-500 Gr</t>
  </si>
  <si>
    <t>MM10312</t>
  </si>
  <si>
    <t>Filtre Kahve Special-500 Gr</t>
  </si>
  <si>
    <t>Türk Kahvesi</t>
  </si>
  <si>
    <t>MM10122</t>
  </si>
  <si>
    <t>MM11047</t>
  </si>
  <si>
    <t>Türk Kahvesi Klasik 1000 Gr</t>
  </si>
  <si>
    <t>MM10288</t>
  </si>
  <si>
    <t>Türk Kahvesi Geleneksel Poşet-750 Gr.</t>
  </si>
  <si>
    <t>MM10619</t>
  </si>
  <si>
    <t>Türk Kahvesi Damla Sakızlı Poşet-500 Gr</t>
  </si>
  <si>
    <t>MM10621</t>
  </si>
  <si>
    <t>Türk Kahvesi Dağ Çilekli Poşet-500 Gr</t>
  </si>
  <si>
    <t>MM10118</t>
  </si>
  <si>
    <t>Türk Kahvesi Çekirdek -5000 Gr</t>
  </si>
  <si>
    <t>MM10356</t>
  </si>
  <si>
    <t>Türk Kahvesi Geleneksel Çekirdek-5000 Gr</t>
  </si>
  <si>
    <t>MM10847</t>
  </si>
  <si>
    <t>Türk Kahvesi Klasik Çekirdek-5000 Gr</t>
  </si>
  <si>
    <t>Diğer Kahve Çeşitleri</t>
  </si>
  <si>
    <t>MM10620</t>
  </si>
  <si>
    <t>Dibek Kahvesi Poşet-500 Gr</t>
  </si>
  <si>
    <t>MM10618</t>
  </si>
  <si>
    <t>Osmanlı Kahvesi Poşet-500 Gr</t>
  </si>
  <si>
    <t>TC10800</t>
  </si>
  <si>
    <t>Şekeroğlu Menengiç Kahvesi-600 Gr</t>
  </si>
  <si>
    <t>Cam</t>
  </si>
  <si>
    <t>MM10577</t>
  </si>
  <si>
    <t>Toz Menengiç Poşet-500 Gr</t>
  </si>
  <si>
    <t>Sıcak Çikolata</t>
  </si>
  <si>
    <t>MM10460</t>
  </si>
  <si>
    <t>Sıcak Çikolata (Kavanoz)-1000 Gr</t>
  </si>
  <si>
    <t>Kavanoz</t>
  </si>
  <si>
    <t>MM10320</t>
  </si>
  <si>
    <t>Beyaz Sıcak Çikolata (Kavanoz) 1000 Gr</t>
  </si>
  <si>
    <t>MM11274</t>
  </si>
  <si>
    <t>Chai Tea Latte (Kavanoz) 1000 Gr</t>
  </si>
  <si>
    <t>Salep</t>
  </si>
  <si>
    <t>MM10461</t>
  </si>
  <si>
    <t>Salep (Kavanoz)-1000 Gr</t>
  </si>
  <si>
    <t>Instant</t>
  </si>
  <si>
    <t>MM10541</t>
  </si>
  <si>
    <t>Gold Kahve (Poşet)</t>
  </si>
  <si>
    <t>Süt Tozu</t>
  </si>
  <si>
    <t>MM10590</t>
  </si>
  <si>
    <t>Süt Tozu (Poşet)</t>
  </si>
  <si>
    <t>Frappe</t>
  </si>
  <si>
    <t>MM10451</t>
  </si>
  <si>
    <t>Çikolata Frappe (Kavanoz)-1000 Gr</t>
  </si>
  <si>
    <t>MM10458</t>
  </si>
  <si>
    <t>Kahve Frappe (Kavanoz)-1000 Gr</t>
  </si>
  <si>
    <t>MM10454</t>
  </si>
  <si>
    <t>Kırmızı Orman Meyveli Frappe (Kavanoz)-1000 Gr</t>
  </si>
  <si>
    <t>MM10455</t>
  </si>
  <si>
    <t>Çilek Frappe (Kavanoz)-1000 Gr</t>
  </si>
  <si>
    <t>MM10442</t>
  </si>
  <si>
    <t>Vanilya Frappe (Plastik)-1000 Gr</t>
  </si>
  <si>
    <t>MM10456</t>
  </si>
  <si>
    <t>Muz Frappe (Kavanoz)-1000 Gr</t>
  </si>
  <si>
    <t>MM10453</t>
  </si>
  <si>
    <t>Böğürtlen Frappe (Kavanoz)-1000 Gr</t>
  </si>
  <si>
    <t>MM10457</t>
  </si>
  <si>
    <t>Mango Frappe (Kavanoz)-1000 Gr</t>
  </si>
  <si>
    <t>MM10459</t>
  </si>
  <si>
    <t>Oreo Frappe (Kavanoz)-1000 Gr</t>
  </si>
  <si>
    <t>MM10452</t>
  </si>
  <si>
    <t>Karamel Frappe (Kavanoz)-1000 Gr</t>
  </si>
  <si>
    <t>Bitki Çayı</t>
  </si>
  <si>
    <t>MM10291</t>
  </si>
  <si>
    <t>Ihlamur - Çiçek (Poşet)</t>
  </si>
  <si>
    <t>MM10292</t>
  </si>
  <si>
    <t>Nane - Limon (Poşet)</t>
  </si>
  <si>
    <t>MM10294</t>
  </si>
  <si>
    <t>Papatya (Poşet)</t>
  </si>
  <si>
    <t>MM10296</t>
  </si>
  <si>
    <t>Yeşil Çay(Poşet)</t>
  </si>
  <si>
    <t>Meyve Çayı</t>
  </si>
  <si>
    <t>MM10302</t>
  </si>
  <si>
    <t>Kuşburnu(Poşet)</t>
  </si>
  <si>
    <t>MM10305</t>
  </si>
  <si>
    <t>Kış Çayı(Poşet)</t>
  </si>
  <si>
    <t>MM10307</t>
  </si>
  <si>
    <t>Kırmızı Orman Meyveleri(Poşet)</t>
  </si>
  <si>
    <t>MM10304</t>
  </si>
  <si>
    <t>MM10306</t>
  </si>
  <si>
    <t>Elma - Tarçın(Poşet)</t>
  </si>
  <si>
    <t>Kokteyl Şurubu (Cam Şişe)</t>
  </si>
  <si>
    <t>MM10956</t>
  </si>
  <si>
    <t>Ananas Aromalı Şurup 70Cl</t>
  </si>
  <si>
    <t>MM10969</t>
  </si>
  <si>
    <t>Bahçe Nanesi Aromalı Şurup 70Cl</t>
  </si>
  <si>
    <t>MM10972</t>
  </si>
  <si>
    <t>Bergamot Aromalı Şurup 70Cl</t>
  </si>
  <si>
    <t>MM10946</t>
  </si>
  <si>
    <t>Beyaz Çikolata Aromalı Şurup 70Cl</t>
  </si>
  <si>
    <t>MM11189</t>
  </si>
  <si>
    <t>Bodrum Mandalinası Aromalı Şurup 70Cl</t>
  </si>
  <si>
    <t>MM10967</t>
  </si>
  <si>
    <t>Böğürtlen Aromalı Şurup 70Cl</t>
  </si>
  <si>
    <t>MM11014</t>
  </si>
  <si>
    <t>Bubble Gum Aromalı Şurup 70Cll</t>
  </si>
  <si>
    <t>MM10971</t>
  </si>
  <si>
    <t>Cookıe Aromalı Şurup 70Cl</t>
  </si>
  <si>
    <t>MM10945</t>
  </si>
  <si>
    <t>Çikolata Aromalı Şurup 70Cl</t>
  </si>
  <si>
    <t>MM10944</t>
  </si>
  <si>
    <t>Çilek Aromalı Şurup 70Cl</t>
  </si>
  <si>
    <t>MM11045</t>
  </si>
  <si>
    <t>Düşes Armudu Aromalı Şurup 70Cl</t>
  </si>
  <si>
    <t>MM10948</t>
  </si>
  <si>
    <t>Fındık Aromalı Şurup 70Cl</t>
  </si>
  <si>
    <t>MM10959</t>
  </si>
  <si>
    <t>Frambuaz Aromalı Şurup 70Cl</t>
  </si>
  <si>
    <t>MM10951</t>
  </si>
  <si>
    <t>Hindistan Cevizi Aromalı Şurup 70Cl</t>
  </si>
  <si>
    <t>MM10965</t>
  </si>
  <si>
    <t>İrlanda Kreması Aromalı Şurup 70Cl</t>
  </si>
  <si>
    <t>MM10966</t>
  </si>
  <si>
    <t>Karadut Aromalı Şurup 70Cl</t>
  </si>
  <si>
    <t>MM10947</t>
  </si>
  <si>
    <t>Karamel Aromalı Şurup 70Cl</t>
  </si>
  <si>
    <t>MM10955</t>
  </si>
  <si>
    <t>Karpuz Aromalı Şurup 70Cl</t>
  </si>
  <si>
    <t>MM10960</t>
  </si>
  <si>
    <t>Kavun Aromalı Şurup 70Cl</t>
  </si>
  <si>
    <t>MM11013</t>
  </si>
  <si>
    <t>Kayısı Çekirdeği Aromalı Şurup 70Cl</t>
  </si>
  <si>
    <t>MM10964</t>
  </si>
  <si>
    <t>Kivi Aromalı Şurup 70Cl</t>
  </si>
  <si>
    <t>MM10970</t>
  </si>
  <si>
    <t>Lavanta Aromalı Şurup 70Cl</t>
  </si>
  <si>
    <t>MM10961</t>
  </si>
  <si>
    <t>Mango Aromalı Şurup 70Cl</t>
  </si>
  <si>
    <t>MM11017</t>
  </si>
  <si>
    <t>Maple Aromalı Şurup 70Cl</t>
  </si>
  <si>
    <t>MM11016</t>
  </si>
  <si>
    <t>Mojıto Mıx Aromalı Şurup 70Cl</t>
  </si>
  <si>
    <t>MM10950</t>
  </si>
  <si>
    <t>Muz Aromalı Şurup 70Cl</t>
  </si>
  <si>
    <t>MM11020</t>
  </si>
  <si>
    <t>Mürver Çiçeği Aromalı Şurup 70Cl</t>
  </si>
  <si>
    <t>MM10963</t>
  </si>
  <si>
    <t>Nane Aromalı Şurup 70Cl</t>
  </si>
  <si>
    <t>MM10954</t>
  </si>
  <si>
    <t>Nar Aromalı Şurup 70Cl</t>
  </si>
  <si>
    <t>MM11018</t>
  </si>
  <si>
    <t>Passıon Fruıt Aromalı Şurup 70Cl</t>
  </si>
  <si>
    <t>MM11015</t>
  </si>
  <si>
    <t>Portakal Aromalı Şurup 70Cl</t>
  </si>
  <si>
    <t>MM10982</t>
  </si>
  <si>
    <t>Reyhan Aromalı Şurup 70Cl</t>
  </si>
  <si>
    <t>MM11019</t>
  </si>
  <si>
    <t>Salted Caramel Aromalı Şurup 70Cl</t>
  </si>
  <si>
    <t>MM10952</t>
  </si>
  <si>
    <t>Şeftali Aromalı Şurup 70Cl</t>
  </si>
  <si>
    <t>MM10962</t>
  </si>
  <si>
    <t>Şeker Şurup 70Cl</t>
  </si>
  <si>
    <t>MM10973</t>
  </si>
  <si>
    <t>Toffee Nut Aromalı Şurup 70Cl</t>
  </si>
  <si>
    <t>MM10957</t>
  </si>
  <si>
    <t>Turunç Aromalı Şurup 70Cl</t>
  </si>
  <si>
    <t>MM10949</t>
  </si>
  <si>
    <t>Vanilya Aromalı Şurup 70Cl</t>
  </si>
  <si>
    <t>MM10968</t>
  </si>
  <si>
    <t>Yaban Mersini Aromalı Şurup 70Cl</t>
  </si>
  <si>
    <t>MM10983</t>
  </si>
  <si>
    <t>Yanık Karamel Aromalı Şurup 70Cl</t>
  </si>
  <si>
    <t>MM10958</t>
  </si>
  <si>
    <t>Yeşil Elma Aromalı Şurup 70Cl</t>
  </si>
  <si>
    <t>MM10953</t>
  </si>
  <si>
    <t>Yeşil Limon (Misket Limonu) Aromalı Şurup 70Cl</t>
  </si>
  <si>
    <t>MM11044</t>
  </si>
  <si>
    <t>Baharatlı Balkabak Aromalı Şurup 70Cl</t>
  </si>
  <si>
    <t>Kokteyl Şurubu (Plastik Şişe)</t>
  </si>
  <si>
    <t>MM11154</t>
  </si>
  <si>
    <t>Ananas Aromalı Şurup 70Cl (Plastik Şişe)</t>
  </si>
  <si>
    <t>Plastik</t>
  </si>
  <si>
    <t>MM11153</t>
  </si>
  <si>
    <t>Bahçe Nanesi Aromalı Şurup 70Cl (Plastik Şişe)</t>
  </si>
  <si>
    <t>MM11226</t>
  </si>
  <si>
    <t>Bergamot Aromalı Kokteyl Şurup 70Cl (Plastik Şişe)</t>
  </si>
  <si>
    <t>MM10981</t>
  </si>
  <si>
    <t>Beyaz Çikolata Aromalı Şurup 70Cl (Plastik Şişe)</t>
  </si>
  <si>
    <t>MM11192</t>
  </si>
  <si>
    <t>Bodrum Mandalinası Aromalı Şurup 70Cl (Plastik Şişe)</t>
  </si>
  <si>
    <t>MM11167</t>
  </si>
  <si>
    <t>Böğürtlen Aromalı Şurup 70Cl(Plastik Şişe)</t>
  </si>
  <si>
    <t>MM11155</t>
  </si>
  <si>
    <t>Bubble Gum Aromalı Şurup 70Cl (Plastik Şişe)</t>
  </si>
  <si>
    <t>MM11077</t>
  </si>
  <si>
    <t>Cookıe Aromalı Şurup 70Cl (Plastik Şişe)</t>
  </si>
  <si>
    <t>MM10976</t>
  </si>
  <si>
    <t>Çikolata Aromalı Şurup 70Cl (Plastik Şişe)</t>
  </si>
  <si>
    <t>MM10979</t>
  </si>
  <si>
    <t>Çilek Aromalı Şurup 70Cl (Plastik Şişe)</t>
  </si>
  <si>
    <t>MM11194</t>
  </si>
  <si>
    <t>Düşes Armudu Aromalı Şurup 70Cl (Plastik Şişe)</t>
  </si>
  <si>
    <t>MM10987</t>
  </si>
  <si>
    <t>Fındık Aromalı Şurup 70Cl (Plastik Şişe)</t>
  </si>
  <si>
    <t>MM11076</t>
  </si>
  <si>
    <t>Frambuaz Aromalı Şurup 70Cl (Plastik Şişe)</t>
  </si>
  <si>
    <t>MM11079</t>
  </si>
  <si>
    <t>Hindistan Cevizi Aromalı Şurup 70Cl (Plastik Şişe)</t>
  </si>
  <si>
    <t>MM11089</t>
  </si>
  <si>
    <t>İrlanda Kreması Aromalı Şurup 70Cl (Plastik Şişe)</t>
  </si>
  <si>
    <t>MM11202</t>
  </si>
  <si>
    <t>Karadut Aromalı Şurup 70Cl (Plastik Şişe)</t>
  </si>
  <si>
    <t>MM10980</t>
  </si>
  <si>
    <t>Karamel Aromalı Şurup 70Cl (Plastik Şişe)</t>
  </si>
  <si>
    <t>MM11169</t>
  </si>
  <si>
    <t>Karpuz Aromalı Şurup 70Cl (Plastik Şişe)</t>
  </si>
  <si>
    <t>MM11224</t>
  </si>
  <si>
    <t>Kavun Aromalı Kokteyl Şurup 70 Cl (Plastik Şişe)</t>
  </si>
  <si>
    <t>MM11227</t>
  </si>
  <si>
    <t>Kayısı Çekirdeği Aromalı Kokteyl Şurup 70Cl (Plastik Şişe)</t>
  </si>
  <si>
    <t>MM11081</t>
  </si>
  <si>
    <t>Kivi Aromalı Şurup 70Cl (Plastik Şişe)</t>
  </si>
  <si>
    <t>MM11225</t>
  </si>
  <si>
    <t>Lavanta Aromalı Kokteyl Şurup 70Cl (Plastik Şişe)</t>
  </si>
  <si>
    <t>MM11170</t>
  </si>
  <si>
    <t>Mango Aromalı Şurup 70Cl (Plastik Şişe)</t>
  </si>
  <si>
    <t>MM11228</t>
  </si>
  <si>
    <t>Maple Aromalı Kokteyl Şurup 70Cl (Plastik Şişe)</t>
  </si>
  <si>
    <t>MM11078</t>
  </si>
  <si>
    <t>Mojıto Mıx Aromalı Şurup 70Cl (Plastik Şişe)</t>
  </si>
  <si>
    <t>MM10999</t>
  </si>
  <si>
    <t>Muz Aromalı Şurup 70Cl (Plastik Şişe)</t>
  </si>
  <si>
    <t>MM11229</t>
  </si>
  <si>
    <t>Mürver Çiçeği Aromalı Kokteyl Şurup 70Cl (Plastik Şişe)</t>
  </si>
  <si>
    <t>MM11049</t>
  </si>
  <si>
    <t>Nane Aromalı Şurup 70Cl (Plastik Şişe)</t>
  </si>
  <si>
    <t>MM10989</t>
  </si>
  <si>
    <t>Nar Aromalı Şurup 70Cl (Plastik Şişe)</t>
  </si>
  <si>
    <t>MM11171</t>
  </si>
  <si>
    <t>Passıon Fruıt Aromalı Şurup 70Cl (Plastik Şişe)</t>
  </si>
  <si>
    <t>MM11080</t>
  </si>
  <si>
    <t>Portakal Aromalı Şurup 70Cl (Plastik Şişe)</t>
  </si>
  <si>
    <t>MM11193</t>
  </si>
  <si>
    <t>Reyhan Aromalı Şurup 70Cl (Plastik Şişe)</t>
  </si>
  <si>
    <t>MM11152</t>
  </si>
  <si>
    <t>Salted Caramel Aromalı Şurup 70Cl (Plastik Şişe)</t>
  </si>
  <si>
    <t>MM11172</t>
  </si>
  <si>
    <t>Şeftali Aromalı Şurup 70Cl (Plastik Şişe)</t>
  </si>
  <si>
    <t>MM11090</t>
  </si>
  <si>
    <t>Şeker Şurup 70Cl (Plastik Şişe)</t>
  </si>
  <si>
    <t>MM11151</t>
  </si>
  <si>
    <t>Toffee Nut Aromalı Şurup 70Cl (Plastik Şişe)</t>
  </si>
  <si>
    <t>MM10997</t>
  </si>
  <si>
    <t>Turunç Aromalı Şurup 70Cl (Plastik Şişe)</t>
  </si>
  <si>
    <t>MM10988</t>
  </si>
  <si>
    <t>Vanilya Aromalı Şurup 70Cl (Plastik Şişe)</t>
  </si>
  <si>
    <t>MM11156</t>
  </si>
  <si>
    <t>Yaban Mersini Aromalı Şurup 70Cl (Plastik Şişe)</t>
  </si>
  <si>
    <t>MM11195</t>
  </si>
  <si>
    <t>Yanık Karamel Aromalı Şurup 70Cl (Plastik Şişe)</t>
  </si>
  <si>
    <t>MM11173</t>
  </si>
  <si>
    <t>Yeşil Elma Aromalı Şurup 70Cl (Plastik Şişe)</t>
  </si>
  <si>
    <t>MM11174</t>
  </si>
  <si>
    <t>Yeşil Limon Aromalı Şurup 70Cl (Plastik Şişe)</t>
  </si>
  <si>
    <t>MM11095</t>
  </si>
  <si>
    <t>Baharatlı Balkabak Aromalı Şurup(Plastik Şişe)</t>
  </si>
  <si>
    <t>MM11209</t>
  </si>
  <si>
    <t>Cool Lime 70Cl (Plastik Şişe)</t>
  </si>
  <si>
    <t>MM11210</t>
  </si>
  <si>
    <t>Cool Berry 70Cl (Plastik Şişe)</t>
  </si>
  <si>
    <t>MM11211</t>
  </si>
  <si>
    <t>Cool Plum Berry 70Cl (Plastik Şişe)</t>
  </si>
  <si>
    <t>MM11212</t>
  </si>
  <si>
    <t>Cool Tropic 70Cl (Plastik Şişe)</t>
  </si>
  <si>
    <t>Kokteyl Şurubu (Premium)</t>
  </si>
  <si>
    <t>MM11021</t>
  </si>
  <si>
    <t>Premium Çikolata Aromalı Şurup 70Cl</t>
  </si>
  <si>
    <t>MM11022</t>
  </si>
  <si>
    <t>Premium Beyaz Çikolata Aromalı Şurup 70Cl</t>
  </si>
  <si>
    <t>MM11023</t>
  </si>
  <si>
    <t>Premium Karamel Aromalı Şurup 70Cl</t>
  </si>
  <si>
    <t>MM11024</t>
  </si>
  <si>
    <t>Premium Fındık Aromalı Şurup 70Cl</t>
  </si>
  <si>
    <t>MM11025</t>
  </si>
  <si>
    <t>Premium Vanilya Aromalı Şurup 70Cl</t>
  </si>
  <si>
    <t>MM11026</t>
  </si>
  <si>
    <t>Premium Çilek Aromalı Şurup 70Cl</t>
  </si>
  <si>
    <t>Topping Sos</t>
  </si>
  <si>
    <t>TC10051</t>
  </si>
  <si>
    <t>Çikolata</t>
  </si>
  <si>
    <t/>
  </si>
  <si>
    <t>Beyaz Çikolata</t>
  </si>
  <si>
    <t>TC10053</t>
  </si>
  <si>
    <t>Karamel</t>
  </si>
  <si>
    <t>TC10052</t>
  </si>
  <si>
    <t>Çilek</t>
  </si>
  <si>
    <t>Dekor Sos</t>
  </si>
  <si>
    <t>TC10056</t>
  </si>
  <si>
    <t>TC10057</t>
  </si>
  <si>
    <t>TC10058</t>
  </si>
  <si>
    <t>TC10059</t>
  </si>
  <si>
    <t>Frambuaz</t>
  </si>
  <si>
    <t>TC10060</t>
  </si>
  <si>
    <t>TC10061</t>
  </si>
  <si>
    <t>Kivi</t>
  </si>
  <si>
    <t>TC10062</t>
  </si>
  <si>
    <t>Muz</t>
  </si>
  <si>
    <t>Meyve Püresi</t>
  </si>
  <si>
    <t>TC10796</t>
  </si>
  <si>
    <t>Sweet Heaven Ananas Meyve Püresi-1000 Gr</t>
  </si>
  <si>
    <t>TC10781</t>
  </si>
  <si>
    <t>Sweet Heaven Çilek Meyve Püresi-1000 Gr</t>
  </si>
  <si>
    <t>TC10784</t>
  </si>
  <si>
    <t>Sweet Heaven Karpuz Meyve Püresi-1000 Gr</t>
  </si>
  <si>
    <t>TC10791</t>
  </si>
  <si>
    <t>Sweet Heaven Kavun Meyve Püresi-1000 Gr</t>
  </si>
  <si>
    <t>TC10787</t>
  </si>
  <si>
    <t>Sweet Heaven Kivi Meyve Püresi-1000 Gr</t>
  </si>
  <si>
    <t>TC10790</t>
  </si>
  <si>
    <t>Sweet Heaven Limon Meyve Püresi-1000 Gr</t>
  </si>
  <si>
    <t>TC10783</t>
  </si>
  <si>
    <t>Sweet Heaven Mango Meyve Püresi-1000 Gr</t>
  </si>
  <si>
    <t>TC10793</t>
  </si>
  <si>
    <t>Sweet Heaven Muz Meyve Püresi-1000 Gr</t>
  </si>
  <si>
    <t>TC10786</t>
  </si>
  <si>
    <t>Sweet Heaven Şeftali Meyve Püresi-1000 Gr</t>
  </si>
  <si>
    <t>TC10788</t>
  </si>
  <si>
    <t>Sweet Heaven Yeşil Elma Meyve Püresi-1000 Gr</t>
  </si>
  <si>
    <t>TC10803</t>
  </si>
  <si>
    <t>Sweet Heaven Bodrum Mandalina Meyve Püresi-1000 Gr</t>
  </si>
  <si>
    <t>TC10785</t>
  </si>
  <si>
    <t>Sweet Heaven Karadut Meyve Püresi-1000 Gr</t>
  </si>
  <si>
    <t>TC10782</t>
  </si>
  <si>
    <t>Sweet Heaven Böğürtlen Meyve Püresi-1000 Gr</t>
  </si>
  <si>
    <t>TC10789</t>
  </si>
  <si>
    <t>Sweet Heaven Frambuaz Meyve Püresi-1000 Gr</t>
  </si>
  <si>
    <t>TC10792</t>
  </si>
  <si>
    <t>Sweet Heaven Kırmızı Orman Meyveleri Püresi-1000 Gr</t>
  </si>
  <si>
    <t>TC10794</t>
  </si>
  <si>
    <t>Sweet Heaven Yaban Mersini Meyve Püresi-1000 Gr</t>
  </si>
  <si>
    <t>TC10798</t>
  </si>
  <si>
    <t>Sweet Heaven Çarkıfelek Meyve Püresi-1000 Gr</t>
  </si>
  <si>
    <t>TC10829</t>
  </si>
  <si>
    <t>Sweet Heaven Yuzu Meyve Püresi-1000 Gr</t>
  </si>
  <si>
    <t>Waffle Sos</t>
  </si>
  <si>
    <t>MM11176</t>
  </si>
  <si>
    <t>Sütlü Waffle Sos-10 Kg</t>
  </si>
  <si>
    <t>MM11191</t>
  </si>
  <si>
    <t>Bitter Waffle Sos-10 Kg</t>
  </si>
  <si>
    <t>TC10033</t>
  </si>
  <si>
    <t>Fildişi Waffle Sos-10 Kg</t>
  </si>
  <si>
    <t>MM11230</t>
  </si>
  <si>
    <t>Fındık Waffle Sos-10 Kg</t>
  </si>
  <si>
    <t>MM11231</t>
  </si>
  <si>
    <t>Sütlü Waffle Sos-1 Kg</t>
  </si>
  <si>
    <t>MM11232</t>
  </si>
  <si>
    <t>Bitter Waffle Sos-1 Kg</t>
  </si>
  <si>
    <t>TC10040</t>
  </si>
  <si>
    <t>Fildişi Waffle Sos-1 Kg</t>
  </si>
  <si>
    <t>MM11233</t>
  </si>
  <si>
    <t>Fındıklı Waffle Sos-1 Kg</t>
  </si>
  <si>
    <t>Bar Sos</t>
  </si>
  <si>
    <t>TC10495</t>
  </si>
  <si>
    <t>Beyaz Çikolatalı Bar Sos</t>
  </si>
  <si>
    <t>TC10496</t>
  </si>
  <si>
    <t>Bitter Çikolatalı Bar Sos</t>
  </si>
  <si>
    <t>TC10494</t>
  </si>
  <si>
    <t>Toffee Karamelli Bar Sos</t>
  </si>
  <si>
    <t>Sprey Şanti</t>
  </si>
  <si>
    <t>TC10026</t>
  </si>
  <si>
    <t>Hopla Şanti</t>
  </si>
  <si>
    <t>Aparatifler</t>
  </si>
  <si>
    <t>MM10502</t>
  </si>
  <si>
    <t>Bitter Portakallı Lokum (Piyasa)</t>
  </si>
  <si>
    <t>MM10503</t>
  </si>
  <si>
    <t>Bitter Frambuazlı Lokum (Piyasa)</t>
  </si>
  <si>
    <t>Ekipmanlar</t>
  </si>
  <si>
    <t>TC10539</t>
  </si>
  <si>
    <t>Kokteyl Şurup Pompası</t>
  </si>
  <si>
    <t>1000 GR</t>
  </si>
  <si>
    <t>500 GR</t>
  </si>
  <si>
    <t>750 GR</t>
  </si>
  <si>
    <t>5000 GR</t>
  </si>
  <si>
    <t>600 GR</t>
  </si>
  <si>
    <t>800 GR</t>
  </si>
  <si>
    <t>200 GR</t>
  </si>
  <si>
    <t>700ML</t>
  </si>
  <si>
    <t>10 KG</t>
  </si>
  <si>
    <t>1 KG</t>
  </si>
  <si>
    <t>2500 GR</t>
  </si>
  <si>
    <t>250 GR</t>
  </si>
  <si>
    <t>2000 GR</t>
  </si>
  <si>
    <t>Cheesecake</t>
  </si>
  <si>
    <t>MM10000</t>
  </si>
  <si>
    <t>Frambuazlı Cheesecake (10  Dilim)</t>
  </si>
  <si>
    <t>MM10009</t>
  </si>
  <si>
    <t>Frambuazlı Cheesecake (12  Dilim)</t>
  </si>
  <si>
    <t>MM10001</t>
  </si>
  <si>
    <t>Limonlu Cheesecake (10 Dilim)</t>
  </si>
  <si>
    <t>MM10010</t>
  </si>
  <si>
    <t>Limonlu Cheesecake (12 Dilim)</t>
  </si>
  <si>
    <t>MM10473</t>
  </si>
  <si>
    <t>San Sebastıan Burnt Cheesecake (10 Dilim)</t>
  </si>
  <si>
    <t>MM11190</t>
  </si>
  <si>
    <t>Portolata (12 Dilim)</t>
  </si>
  <si>
    <t>MM11123</t>
  </si>
  <si>
    <t>Lotus Cheesecake (10 Dilim)</t>
  </si>
  <si>
    <t>MM10082</t>
  </si>
  <si>
    <t>Lotus Cheesecake (12 Dilim)</t>
  </si>
  <si>
    <t>Dilim Pastalar</t>
  </si>
  <si>
    <t>MM10034</t>
  </si>
  <si>
    <t>Tiramisu (10  Dilim)</t>
  </si>
  <si>
    <t>MM10056</t>
  </si>
  <si>
    <t>Tiramisu (12  Dilim)</t>
  </si>
  <si>
    <t>MM10030</t>
  </si>
  <si>
    <t>Kare Tiramisu (9 Dilim)</t>
  </si>
  <si>
    <t>MM10065</t>
  </si>
  <si>
    <t>Kedi Dili Tiramisu (8 Dilim)</t>
  </si>
  <si>
    <t>MM10060</t>
  </si>
  <si>
    <t>Mozaik Pasta (14 Dilim)</t>
  </si>
  <si>
    <t>MM10035</t>
  </si>
  <si>
    <t>Çikolatalı Pasta (10 Dilim)</t>
  </si>
  <si>
    <t>MM10598</t>
  </si>
  <si>
    <t>Çikolatalı Pasta (12 Dilim)</t>
  </si>
  <si>
    <t>MM10036</t>
  </si>
  <si>
    <t>Orman Meyveli Pasta (10 Dilim)</t>
  </si>
  <si>
    <t>MM10050</t>
  </si>
  <si>
    <t>Orman Meyveli Pasta (12 Dilim)</t>
  </si>
  <si>
    <t>MM10037</t>
  </si>
  <si>
    <t>Kara Orman Pasta (10 Dilim)</t>
  </si>
  <si>
    <t>MM10053</t>
  </si>
  <si>
    <t>Kara Orman Pasta (12 Dilim)</t>
  </si>
  <si>
    <t>MM10325</t>
  </si>
  <si>
    <t>Red Velvet Pasta (10 Dilim)</t>
  </si>
  <si>
    <t>MM10793</t>
  </si>
  <si>
    <t>Red Velvet Pasta (12 Dilim)</t>
  </si>
  <si>
    <t>MM10024</t>
  </si>
  <si>
    <t>Yer Fıstıklı Karamel Pasta (10 Dilim)</t>
  </si>
  <si>
    <t>MM10275</t>
  </si>
  <si>
    <t>Yaban Mersinli Şeftalili Pasta (10 Dilim)</t>
  </si>
  <si>
    <t>MM10597</t>
  </si>
  <si>
    <t>Yaban Mersinli Şeftalili Pasta (12 Dilim)</t>
  </si>
  <si>
    <t>MM11003</t>
  </si>
  <si>
    <t>Fıstık Rüyası (12 Dilim)</t>
  </si>
  <si>
    <t>MM11004</t>
  </si>
  <si>
    <t>Ballı Cevizli Pasta (12 Dilim)</t>
  </si>
  <si>
    <t>MM11005</t>
  </si>
  <si>
    <t>Ballı Fıstıklı Pasta (12 Dilim)</t>
  </si>
  <si>
    <t>MM10018</t>
  </si>
  <si>
    <t>Browni (9 Dilim)</t>
  </si>
  <si>
    <t>MM10796</t>
  </si>
  <si>
    <t>Belçika Çikolatalı Pasta (12 Dilim)</t>
  </si>
  <si>
    <t>Almondy Cake (12 Dilim)</t>
  </si>
  <si>
    <t>MM11272</t>
  </si>
  <si>
    <t>Kek &amp; Kurabiye</t>
  </si>
  <si>
    <t>MM10600</t>
  </si>
  <si>
    <t>Havuçlu Kek (12 Dilim)</t>
  </si>
  <si>
    <t>MM10281</t>
  </si>
  <si>
    <t>Mermer Kek (12 Dilim)</t>
  </si>
  <si>
    <t>MM10472</t>
  </si>
  <si>
    <t>Çikolatalı Muffin (9 Adet)</t>
  </si>
  <si>
    <t>MM10471</t>
  </si>
  <si>
    <t>Vişneli Muffin (9 Adet)</t>
  </si>
  <si>
    <t>MM10278</t>
  </si>
  <si>
    <t>Sweet Cookıe (20 Adet)</t>
  </si>
  <si>
    <t>MM10284</t>
  </si>
  <si>
    <t>Çikolatalı Sweet Cookıe (20 Adet)</t>
  </si>
  <si>
    <t>MM10283</t>
  </si>
  <si>
    <t>Yulaflı Cookie (20 Adet)</t>
  </si>
  <si>
    <t>MM10936</t>
  </si>
  <si>
    <t>Bardak Glutensiz Hindistan Cevizli Fındık Kremalı Kurabiye (80 Gram)</t>
  </si>
  <si>
    <t>MM10938</t>
  </si>
  <si>
    <t>Bardak Glutensiz Hindistan Cevizli Portakal Kremalı Kurabiye (80 Gram)</t>
  </si>
  <si>
    <t>MM10939</t>
  </si>
  <si>
    <t>Bardak Glutensiz Hindistan Cevizli Beyaz Çikolata Kremalı Kurabiye (80 Gram)</t>
  </si>
  <si>
    <t>MM10977</t>
  </si>
  <si>
    <t>Bardak Glutensiz Hindistan Cevizli Limon Kremalı Kurabiye (80 Gram)</t>
  </si>
  <si>
    <t>MM10974</t>
  </si>
  <si>
    <t>Bardak Glutensiz Parça Çikolatalı Cookıe Hamuru-455 Gram</t>
  </si>
  <si>
    <t>MM11075</t>
  </si>
  <si>
    <t>Bardak-Brownie (100 Gram Donuk)</t>
  </si>
  <si>
    <t>MM11082</t>
  </si>
  <si>
    <t>Bardak Tereyağlı Bardak Kurabiye 8 Oz (80 Gram)</t>
  </si>
  <si>
    <t>MM11158</t>
  </si>
  <si>
    <t>Bardak Zeytinli Bardak Kurabiye 8 Oz (75 Gram)</t>
  </si>
  <si>
    <t>MM11159</t>
  </si>
  <si>
    <t>Bardak Kakaolu Bardak Kurabiye 8 Oz (80 Gram)</t>
  </si>
  <si>
    <t>MM11160</t>
  </si>
  <si>
    <t>Bardak Parça Çikolatalı Bardak Kurabiye 8 Oz (80 Gram)</t>
  </si>
  <si>
    <t>Trileçe</t>
  </si>
  <si>
    <t>MM10028</t>
  </si>
  <si>
    <t>Karamelli Trileçe (9 Dilim)</t>
  </si>
  <si>
    <t>Sufle</t>
  </si>
  <si>
    <t>MM10086</t>
  </si>
  <si>
    <t>Sufle Büyük (Çiğ 10 Adet)</t>
  </si>
  <si>
    <t>MM10087</t>
  </si>
  <si>
    <t>Sufle Büyük (Pişmiş 10 Adet)</t>
  </si>
  <si>
    <t>MM10085</t>
  </si>
  <si>
    <t>Sufle Güveç (Depozitosuz 10 Adet)</t>
  </si>
  <si>
    <t>Mono Pastalar</t>
  </si>
  <si>
    <t>MM10934</t>
  </si>
  <si>
    <t>Mono Kırmızı Kalpli Pasta (6 Adet)</t>
  </si>
  <si>
    <t>MM10978</t>
  </si>
  <si>
    <t>Mono Frambuazlı Kalpli Pasta (5 Adet)</t>
  </si>
  <si>
    <t>MM10072</t>
  </si>
  <si>
    <t>Mono Latte (9 Adet)</t>
  </si>
  <si>
    <t>MM10069</t>
  </si>
  <si>
    <t>Mono Frambuazlı Çikolatalı Kek (9 Adet)</t>
  </si>
  <si>
    <t>MM10070</t>
  </si>
  <si>
    <t>Mono Siyah Profiterollü Pasta (9 Adet)</t>
  </si>
  <si>
    <t>MM10731</t>
  </si>
  <si>
    <t>Mono Çikolatalı Pasta (9 Adet)</t>
  </si>
  <si>
    <t>MM10727</t>
  </si>
  <si>
    <t>Mono Redvelvet Pasta (9 Adet)</t>
  </si>
  <si>
    <t>MM10756</t>
  </si>
  <si>
    <t>Mono Vişneli Kubbe (9 Adet)</t>
  </si>
  <si>
    <t>MM10757</t>
  </si>
  <si>
    <t>Mono Çikolatalı Kubbe (9 Adet)</t>
  </si>
  <si>
    <t>Glutensiz Pastalar</t>
  </si>
  <si>
    <t>MM10536</t>
  </si>
  <si>
    <t>Glutensiz Çikolatalı Pasta</t>
  </si>
  <si>
    <t>MM10710</t>
  </si>
  <si>
    <t>Glutensiz Orman Meyveli Pasta</t>
  </si>
  <si>
    <t>MM10711</t>
  </si>
  <si>
    <t>Glutensiz Tiramisu</t>
  </si>
  <si>
    <t>MM10788</t>
  </si>
  <si>
    <t>Glutensiz Çikolatalı Kup (9 Adet)</t>
  </si>
  <si>
    <t>MM10789</t>
  </si>
  <si>
    <t>Glutensiz Frambuazlı Kup (9 Adet)</t>
  </si>
  <si>
    <t>MM10766</t>
  </si>
  <si>
    <t>Glutensiz Tiramisu Kup (9 Adet)</t>
  </si>
  <si>
    <t>Soğuk İçeçekler</t>
  </si>
  <si>
    <t>TC10226</t>
  </si>
  <si>
    <t>Limonata*Makinesiz(3,5-4 Lt Su İle Karıştırılacaktır)</t>
  </si>
  <si>
    <t>TC10760</t>
  </si>
  <si>
    <t>Portakal Suyu</t>
  </si>
  <si>
    <t>Pizza</t>
  </si>
  <si>
    <t>TC10446</t>
  </si>
  <si>
    <t xml:space="preserve">Karışık Pizza 25 Cm </t>
  </si>
  <si>
    <t>TC10444</t>
  </si>
  <si>
    <t>Margarita Pizza 25 Cm</t>
  </si>
  <si>
    <t>TC10445</t>
  </si>
  <si>
    <t>Vejeteryan Pizza 25 Cm</t>
  </si>
  <si>
    <t>TC10443</t>
  </si>
  <si>
    <t>Pizza Taban 25 Cm</t>
  </si>
  <si>
    <t>TC10234</t>
  </si>
  <si>
    <t>Fanus (Pasta Servis Seti)</t>
  </si>
  <si>
    <t>TC10831</t>
  </si>
  <si>
    <t>Pasta Menü Sweet Heaven 2024</t>
  </si>
  <si>
    <t>TC10822</t>
  </si>
  <si>
    <t>Altolas Z Menü</t>
  </si>
  <si>
    <t>Kutu İçi</t>
  </si>
  <si>
    <t>MM10913</t>
  </si>
  <si>
    <t>Otel çikolatalı pasta (36 dilim)</t>
  </si>
  <si>
    <t>MM10912</t>
  </si>
  <si>
    <t>Otel frambuazlı pasta (36 dilim)</t>
  </si>
  <si>
    <t>MM10915</t>
  </si>
  <si>
    <t>Otel latte pasta (36 dilim)</t>
  </si>
  <si>
    <t>MM10914</t>
  </si>
  <si>
    <t>Otel red velvet pasta (36 dilim)</t>
  </si>
  <si>
    <t>MM11198</t>
  </si>
  <si>
    <t>Otel Karnaval Pasta (32 Dilim)</t>
  </si>
  <si>
    <t>MM10918</t>
  </si>
  <si>
    <t>Otel Fıstık Rüyası Pasta (36 Dilim)</t>
  </si>
  <si>
    <t>MM10916</t>
  </si>
  <si>
    <t>Otel Tiramisu Pasta (36 Dilim)</t>
  </si>
  <si>
    <t>MM10984</t>
  </si>
  <si>
    <t xml:space="preserve">Otel Mozaik Pasta (32 Dilim) </t>
  </si>
  <si>
    <t>MM10926</t>
  </si>
  <si>
    <t>Otel Browni (32 Dilim)</t>
  </si>
  <si>
    <t>MM10927</t>
  </si>
  <si>
    <t>Otel Ballı Cevizli Pasta (32 Dilim)</t>
  </si>
  <si>
    <t>MM11196</t>
  </si>
  <si>
    <t>Otel Elmalı Pay (32 Dilim)</t>
  </si>
  <si>
    <t>MM11197</t>
  </si>
  <si>
    <t>Otel Havuçlu Kek (32 Dilim)</t>
  </si>
  <si>
    <t>MM10917</t>
  </si>
  <si>
    <t>Otel Red Black Pasta (36 Dilim)</t>
  </si>
  <si>
    <t>MM10919</t>
  </si>
  <si>
    <t>Otel Siyah Profiterollü Pasta (36 Dilim)</t>
  </si>
  <si>
    <t>MM11215</t>
  </si>
  <si>
    <t>Otel Frambuazlı Soğuk Cheesecake (32 Dilim)</t>
  </si>
  <si>
    <t>MM11216</t>
  </si>
  <si>
    <t>Otel Limonlu Soğuk Cheesecake (32 Dilim)</t>
  </si>
  <si>
    <t>MM11213</t>
  </si>
  <si>
    <t>Otel Çikolatalı Muffin (16 Adet)</t>
  </si>
  <si>
    <t>MM11214</t>
  </si>
  <si>
    <t>Otel Vişneli Muffin (16 Adet)</t>
  </si>
  <si>
    <t>MM10790</t>
  </si>
  <si>
    <t>Otel Glutensiz Frambuazlı Kup (16 Adet)</t>
  </si>
  <si>
    <t>MM10799</t>
  </si>
  <si>
    <t>Otel Glutensiz Çilekli Kup (16 Adet)</t>
  </si>
  <si>
    <t>MM10800</t>
  </si>
  <si>
    <t>Otel Glutensiz Çikolatalı Kup (16 Adet)</t>
  </si>
  <si>
    <t>MM10824</t>
  </si>
  <si>
    <t>Otel Glutensiz Vişneli Çikolatalı Kup (16 Adet)</t>
  </si>
  <si>
    <t>MM10825</t>
  </si>
  <si>
    <t>Otel Glutensiz Tiramisu Kup (16 Adet)</t>
  </si>
  <si>
    <t>MM10831</t>
  </si>
  <si>
    <t>Otel Glutensiz Havuçlu Kup (16 Adet)</t>
  </si>
  <si>
    <t>MM10835</t>
  </si>
  <si>
    <t>Otel Glutensiz Limonlu Cheesecake Kup (16 Adet)</t>
  </si>
  <si>
    <t>MM10841</t>
  </si>
  <si>
    <t>Otel Glutensiz Bellavısta Kup (16 Adet)</t>
  </si>
  <si>
    <t>MM10842</t>
  </si>
  <si>
    <t>Otel Glutensiz Frambuazlı Cheesecake Kup (16 Adet)</t>
  </si>
  <si>
    <t>MM10848</t>
  </si>
  <si>
    <t>Otel Glutensiz Yaban Mersinli Cheesecake Kup</t>
  </si>
  <si>
    <t>MM10849</t>
  </si>
  <si>
    <t>Otel Glutensiz Frambuazlı Kakaolu Kup (16 Adet)</t>
  </si>
  <si>
    <t>MM10860</t>
  </si>
  <si>
    <t>Otel Glutensiz Yer Fıstıklı Karamelli Kup(16 Adet)</t>
  </si>
  <si>
    <t>MM10861</t>
  </si>
  <si>
    <t>Otel Glutensiz Brownıe Kek(16 Adet)</t>
  </si>
  <si>
    <t>MM10641</t>
  </si>
  <si>
    <t>Limonlu Cheesecake-600 Gr</t>
  </si>
  <si>
    <t>MM10652</t>
  </si>
  <si>
    <t>Frambuazlı Cheesecake-600 Gr</t>
  </si>
  <si>
    <t>MM10647</t>
  </si>
  <si>
    <t>Tiramisu-600 Gr</t>
  </si>
  <si>
    <t>MM10649</t>
  </si>
  <si>
    <t>Çikolatalı Pasta-600 Gr</t>
  </si>
  <si>
    <t>MM10706</t>
  </si>
  <si>
    <t>Orman Meyveli Pasta-600 Gr</t>
  </si>
  <si>
    <t>MM11007</t>
  </si>
  <si>
    <t>Dikdörtgen Red Velvet Pasta-665 Gram</t>
  </si>
  <si>
    <t>MM11008</t>
  </si>
  <si>
    <t>Dikdörtgen Siyah Profiterollü Pasta-600 Gram</t>
  </si>
  <si>
    <t>MM11009</t>
  </si>
  <si>
    <t>Dikdörtgen Tiramisu-630 Gram</t>
  </si>
  <si>
    <t>MM11010</t>
  </si>
  <si>
    <t>Dikdörtgen Brownıe-500 Gram</t>
  </si>
  <si>
    <t>MM11027</t>
  </si>
  <si>
    <t>Dikdörtgen Mozaik Pasta 650 G</t>
  </si>
  <si>
    <t>MM11028</t>
  </si>
  <si>
    <t>Dikdörtgen Fıstık Rüyası 630 G</t>
  </si>
  <si>
    <t>MM11031</t>
  </si>
  <si>
    <t>Dikdörtgen Ballı Cevizli Pasta 565 G</t>
  </si>
  <si>
    <t>MM11168</t>
  </si>
  <si>
    <t>Dikdörtgen Red Black-600 Gram</t>
  </si>
  <si>
    <t>Miktar</t>
  </si>
  <si>
    <t>MM10298</t>
  </si>
  <si>
    <t>MM10764</t>
  </si>
  <si>
    <t>MM11286</t>
  </si>
  <si>
    <t>MM10324</t>
  </si>
  <si>
    <t>MM10462</t>
  </si>
  <si>
    <t>MM10601</t>
  </si>
  <si>
    <t>MM10736</t>
  </si>
  <si>
    <t>MM10737</t>
  </si>
  <si>
    <t>MM10738</t>
  </si>
  <si>
    <t>MM10739</t>
  </si>
  <si>
    <t>MM10740</t>
  </si>
  <si>
    <t>MM10741</t>
  </si>
  <si>
    <t>Kutu Gramaj</t>
  </si>
  <si>
    <t xml:space="preserve">Dilim Gramaj </t>
  </si>
  <si>
    <t>2 Litre</t>
  </si>
  <si>
    <t>Otel Pastaları</t>
  </si>
  <si>
    <t>Koli İçi Adet</t>
  </si>
  <si>
    <t>Salep Tarçınsız (Kavanoz)-1000 Gr</t>
  </si>
  <si>
    <t>Kahve Aromalı Şurup 70Cl (Plastik Şişe)</t>
  </si>
  <si>
    <t>Yaseminli Yeşil Çay (Poşet)</t>
  </si>
  <si>
    <t xml:space="preserve">Otel Glutensiz </t>
  </si>
  <si>
    <t>Türk Kahvesi Gurme Poşet-500 Gr.</t>
  </si>
  <si>
    <t>MM10476</t>
  </si>
  <si>
    <t>San sebastian  Cheesecake--500 Gr</t>
  </si>
  <si>
    <t>MM10771</t>
  </si>
  <si>
    <t>MM10612</t>
  </si>
  <si>
    <t>MM10773</t>
  </si>
  <si>
    <t>Böğürtlen (Poşet)</t>
  </si>
  <si>
    <t>MM11298</t>
  </si>
  <si>
    <t>MM10723</t>
  </si>
  <si>
    <t>MM10743</t>
  </si>
  <si>
    <t>MM10744</t>
  </si>
  <si>
    <t>MM10745</t>
  </si>
  <si>
    <t>MM10078</t>
  </si>
  <si>
    <t>MM10064</t>
  </si>
  <si>
    <t>MM10058</t>
  </si>
  <si>
    <t>MM10061</t>
  </si>
  <si>
    <r>
      <t xml:space="preserve">Fındıklı Pasta (10 Dilim) </t>
    </r>
    <r>
      <rPr>
        <b/>
        <sz val="12"/>
        <rFont val="Calibri"/>
        <family val="2"/>
        <charset val="162"/>
      </rPr>
      <t>*YENİ</t>
    </r>
  </si>
  <si>
    <r>
      <t xml:space="preserve">Dekorlu Çikolatalı Pasta (12 Dilim)  </t>
    </r>
    <r>
      <rPr>
        <b/>
        <sz val="12"/>
        <rFont val="Calibri"/>
        <family val="2"/>
        <charset val="162"/>
      </rPr>
      <t>*YENİ</t>
    </r>
  </si>
  <si>
    <r>
      <t xml:space="preserve">Vanilyalı Krep Pasta (10 Dilim) </t>
    </r>
    <r>
      <rPr>
        <b/>
        <sz val="12"/>
        <rFont val="Calibri"/>
        <family val="2"/>
        <charset val="162"/>
      </rPr>
      <t>*YENİ</t>
    </r>
  </si>
  <si>
    <r>
      <t xml:space="preserve">Kahveli Krep Pasta (10 Dilim) </t>
    </r>
    <r>
      <rPr>
        <b/>
        <sz val="12"/>
        <rFont val="Calibri"/>
        <family val="2"/>
        <charset val="162"/>
      </rPr>
      <t>*YENİ</t>
    </r>
  </si>
  <si>
    <t>Yaban Mersinli Pasta (12 Dilim)</t>
  </si>
  <si>
    <t xml:space="preserve">Rocher Kubbe Pasta (9 Adet) </t>
  </si>
  <si>
    <t xml:space="preserve">Lotus Kubbe Pasta (9 Adet) </t>
  </si>
  <si>
    <t xml:space="preserve">Kara Orman Meyveli Bar Kup (8 Adet) </t>
  </si>
  <si>
    <t xml:space="preserve">Çilekli Bar Kup (8 Adet) </t>
  </si>
  <si>
    <t xml:space="preserve">Nut Krep Bar Kup (8 Adet) </t>
  </si>
  <si>
    <t xml:space="preserve">Orman Meyveli Bar Kup (8 Adet) </t>
  </si>
  <si>
    <t xml:space="preserve">Tiramisu Bar Kup (8 Adet) </t>
  </si>
  <si>
    <t xml:space="preserve">Vişneli Çikolatalı Bar Kup (8 Adet) </t>
  </si>
  <si>
    <r>
      <t>Cocosweet Pasta (9 Adet)</t>
    </r>
    <r>
      <rPr>
        <b/>
        <sz val="12"/>
        <color rgb="FFFF0000"/>
        <rFont val="Calibri"/>
        <family val="2"/>
        <charset val="162"/>
      </rPr>
      <t xml:space="preserve"> </t>
    </r>
  </si>
  <si>
    <r>
      <t xml:space="preserve">Mono Kalpli Pasta (4 Adet) </t>
    </r>
    <r>
      <rPr>
        <b/>
        <sz val="12"/>
        <rFont val="Calibri"/>
        <family val="2"/>
        <charset val="162"/>
      </rPr>
      <t>*YENİ</t>
    </r>
  </si>
  <si>
    <r>
      <t xml:space="preserve">Fıstıklı Magnolya (9 Adet) </t>
    </r>
    <r>
      <rPr>
        <b/>
        <sz val="12"/>
        <rFont val="Calibri"/>
        <family val="2"/>
        <charset val="162"/>
      </rPr>
      <t>* YENİ</t>
    </r>
  </si>
  <si>
    <r>
      <t xml:space="preserve">Mangolu Magnolya (9 Adet) </t>
    </r>
    <r>
      <rPr>
        <b/>
        <sz val="12"/>
        <rFont val="Calibri"/>
        <family val="2"/>
        <charset val="162"/>
      </rPr>
      <t>*YENİ</t>
    </r>
  </si>
  <si>
    <r>
      <t xml:space="preserve">Vişneli Magnolya (9 Adet) </t>
    </r>
    <r>
      <rPr>
        <b/>
        <sz val="12"/>
        <rFont val="Calibri"/>
        <family val="2"/>
        <charset val="162"/>
      </rPr>
      <t>*YENİ</t>
    </r>
  </si>
  <si>
    <r>
      <t xml:space="preserve">Lotus Bisküvili Magnolya (9 Adet) </t>
    </r>
    <r>
      <rPr>
        <b/>
        <sz val="12"/>
        <rFont val="Calibri"/>
        <family val="2"/>
        <charset val="162"/>
      </rPr>
      <t>*YENİ</t>
    </r>
  </si>
  <si>
    <t>KREMALI Havuçlu Kek (12 Dilim)</t>
  </si>
  <si>
    <t>Limonlu Kek (14 Dilim)</t>
  </si>
  <si>
    <t>EUR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</si>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</sst>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\ _T_L_-;\-* #,##0.00\ _T_L_-;_-* &quot;-&quot;??\ _T_L_-;_-@_-"/>
    <numFmt numFmtId="164" formatCode="_-* #,##0.00_-;\-* #,##0.00_-;_-* &quot;-&quot;??_-;_-@_-"/>
    <numFmt numFmtId="165" formatCode="_-[$₺-41F]* #,##0.00_-;\-[$₺-41F]* #,##0.00_-;_-[$₺-41F]* &quot;-&quot;??_-;_-@_-"/>
    <numFmt numFmtId="166" formatCode="dd/mm/yyyy;@"/>
    <numFmt numFmtId="167" formatCode="_-* #,##0.00\ _₺_-;\-* #,##0.00\ _₺_-;_-* &quot;-&quot;??\ _₺_-;_-@_-"/>
    <numFmt numFmtId="168" formatCode="0000000"/>
    <numFmt numFmtId="169" formatCode="_-* #,##0.00\ &quot;₺&quot;_-;\-* #,##0.00\ &quot;₺&quot;_-;_-* &quot;-&quot;??\ &quot;₺&quot;_-;_-@_-"/>
    <numFmt numFmtId="171" formatCode="[$€-2]\ #,##0.00"/>
  </numFmts>
  <fonts count="26">
    <font>
      <sz val="11"/>
      <color theme="1"/>
      <name val="Aptos Narrow"/>
      <family val="2"/>
      <charset val="162"/>
      <scheme val="minor"/>
    </font>
    <font>
      <sz val="10"/>
      <name val="Arial Tur"/>
      <charset val="162"/>
    </font>
    <font>
      <b/>
      <sz val="14"/>
      <name val="Calibri"/>
      <family val="2"/>
      <charset val="162"/>
    </font>
    <font>
      <b/>
      <sz val="12"/>
      <name val="Calibri"/>
      <family val="2"/>
      <charset val="162"/>
    </font>
    <font>
      <sz val="12"/>
      <name val="Calibri"/>
      <family val="2"/>
      <charset val="162"/>
    </font>
    <font>
      <sz val="11"/>
      <name val="Calibri"/>
      <family val="2"/>
      <charset val="162"/>
    </font>
    <font>
      <sz val="11"/>
      <color indexed="8"/>
      <name val="Calibri"/>
      <family val="2"/>
      <charset val="162"/>
    </font>
    <font>
      <sz val="11"/>
      <color theme="1"/>
      <name val="Aptos Narrow"/>
      <family val="2"/>
      <charset val="162"/>
      <scheme val="minor"/>
    </font>
    <font>
      <sz val="11"/>
      <name val="Aptos Narrow"/>
      <family val="2"/>
      <charset val="162"/>
      <scheme val="minor"/>
    </font>
    <font>
      <b/>
      <sz val="12"/>
      <color rgb="FFFF0000"/>
      <name val="Calibri"/>
      <family val="2"/>
      <charset val="162"/>
    </font>
    <font>
      <sz val="14"/>
      <name val="Aptos Narrow"/>
      <family val="2"/>
      <charset val="162"/>
      <scheme val="minor"/>
    </font>
    <font>
      <b/>
      <sz val="20"/>
      <name val="Aptos Narrow"/>
      <family val="2"/>
      <charset val="162"/>
      <scheme val="minor"/>
    </font>
    <font>
      <b/>
      <sz val="14"/>
      <name val="Arial"/>
      <family val="2"/>
      <charset val="162"/>
    </font>
    <font>
      <b/>
      <sz val="14"/>
      <name val="Aptos Narrow"/>
      <family val="2"/>
      <charset val="162"/>
      <scheme val="minor"/>
    </font>
    <font>
      <b/>
      <sz val="16"/>
      <name val="Aptos Narrow"/>
      <family val="2"/>
      <charset val="162"/>
      <scheme val="minor"/>
    </font>
    <font>
      <b/>
      <sz val="16"/>
      <name val="Calibri"/>
      <family val="2"/>
      <charset val="162"/>
    </font>
    <font>
      <b/>
      <sz val="20"/>
      <name val="Calibri"/>
      <family val="2"/>
      <charset val="162"/>
    </font>
    <font>
      <sz val="13"/>
      <name val="Aptos Narrow"/>
      <family val="2"/>
      <charset val="162"/>
      <scheme val="minor"/>
    </font>
    <font>
      <b/>
      <u/>
      <sz val="12"/>
      <name val="Aptos Narrow"/>
      <family val="2"/>
      <charset val="162"/>
      <scheme val="minor"/>
    </font>
    <font>
      <b/>
      <sz val="12"/>
      <name val="Aptos Narrow"/>
      <family val="2"/>
      <charset val="162"/>
      <scheme val="minor"/>
    </font>
    <font>
      <b/>
      <sz val="11"/>
      <name val="Aptos Narrow"/>
      <family val="2"/>
      <charset val="162"/>
      <scheme val="minor"/>
    </font>
    <font>
      <b/>
      <sz val="10"/>
      <name val="Arial Tur"/>
      <charset val="162"/>
    </font>
    <font>
      <b/>
      <sz val="14"/>
      <name val="Arial Tur"/>
      <charset val="162"/>
    </font>
    <font>
      <b/>
      <sz val="15"/>
      <name val="Arial Tur"/>
      <charset val="162"/>
    </font>
    <font>
      <b/>
      <sz val="12"/>
      <name val="Arial Tur"/>
      <charset val="162"/>
    </font>
    <font>
      <b/>
      <sz val="14"/>
      <color theme="1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auto="1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0" fontId="5" fillId="0" borderId="0"/>
    <xf numFmtId="43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84">
    <xf numFmtId="0" fontId="0" fillId="0" borderId="0" xfId="0"/>
    <xf numFmtId="0" fontId="8" fillId="0" borderId="1" xfId="0" applyFont="1" applyBorder="1"/>
    <xf numFmtId="0" fontId="1" fillId="0" borderId="1" xfId="0" applyFont="1" applyBorder="1" applyAlignment="1">
      <alignment vertical="center" shrinkToFi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1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6" fontId="11" fillId="0" borderId="0" xfId="0" applyNumberFormat="1" applyFont="1" applyAlignment="1">
      <alignment horizontal="center"/>
    </xf>
    <xf numFmtId="1" fontId="10" fillId="0" borderId="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65" fontId="15" fillId="0" borderId="1" xfId="0" applyNumberFormat="1" applyFont="1" applyBorder="1" applyAlignment="1">
      <alignment horizontal="center" vertical="center" wrapText="1"/>
    </xf>
    <xf numFmtId="0" fontId="16" fillId="3" borderId="3" xfId="0" applyFont="1" applyFill="1" applyBorder="1" applyAlignment="1">
      <alignment vertical="center"/>
    </xf>
    <xf numFmtId="0" fontId="16" fillId="3" borderId="4" xfId="0" applyFont="1" applyFill="1" applyBorder="1" applyAlignment="1">
      <alignment vertical="center" shrinkToFit="1"/>
    </xf>
    <xf numFmtId="0" fontId="16" fillId="3" borderId="4" xfId="0" applyFont="1" applyFill="1" applyBorder="1" applyAlignment="1">
      <alignment vertical="center"/>
    </xf>
    <xf numFmtId="0" fontId="16" fillId="3" borderId="5" xfId="0" applyFont="1" applyFill="1" applyBorder="1" applyAlignment="1">
      <alignment vertical="center"/>
    </xf>
    <xf numFmtId="0" fontId="17" fillId="0" borderId="0" xfId="0" applyFont="1" applyAlignment="1">
      <alignment horizontal="center"/>
    </xf>
    <xf numFmtId="1" fontId="4" fillId="2" borderId="1" xfId="2" applyNumberFormat="1" applyFont="1" applyFill="1" applyBorder="1" applyAlignment="1">
      <alignment horizontal="left" vertical="center"/>
    </xf>
    <xf numFmtId="1" fontId="4" fillId="0" borderId="1" xfId="2" applyNumberFormat="1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shrinkToFit="1"/>
    </xf>
    <xf numFmtId="1" fontId="4" fillId="0" borderId="7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shrinkToFit="1"/>
    </xf>
    <xf numFmtId="1" fontId="4" fillId="0" borderId="8" xfId="0" applyNumberFormat="1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9" fontId="8" fillId="0" borderId="0" xfId="3" applyFont="1" applyAlignment="1">
      <alignment horizont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shrinkToFit="1"/>
    </xf>
    <xf numFmtId="0" fontId="16" fillId="3" borderId="9" xfId="0" applyFont="1" applyFill="1" applyBorder="1" applyAlignment="1">
      <alignment vertical="center"/>
    </xf>
    <xf numFmtId="0" fontId="16" fillId="3" borderId="10" xfId="0" applyFont="1" applyFill="1" applyBorder="1" applyAlignment="1">
      <alignment vertical="center" shrinkToFit="1"/>
    </xf>
    <xf numFmtId="0" fontId="16" fillId="3" borderId="10" xfId="0" applyFont="1" applyFill="1" applyBorder="1" applyAlignment="1">
      <alignment vertical="center"/>
    </xf>
    <xf numFmtId="0" fontId="16" fillId="3" borderId="11" xfId="0" applyFont="1" applyFill="1" applyBorder="1" applyAlignment="1">
      <alignment vertical="center"/>
    </xf>
    <xf numFmtId="0" fontId="3" fillId="0" borderId="0" xfId="0" applyFont="1"/>
    <xf numFmtId="0" fontId="8" fillId="0" borderId="0" xfId="0" applyFont="1" applyAlignment="1">
      <alignment horizontal="left" vertical="center" shrinkToFit="1"/>
    </xf>
    <xf numFmtId="0" fontId="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shrinkToFit="1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shrinkToFi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8" fillId="0" borderId="0" xfId="0" applyFont="1"/>
    <xf numFmtId="0" fontId="8" fillId="0" borderId="2" xfId="0" applyFont="1" applyBorder="1" applyAlignment="1">
      <alignment horizontal="left" vertical="center"/>
    </xf>
    <xf numFmtId="0" fontId="1" fillId="0" borderId="0" xfId="0" applyFont="1"/>
    <xf numFmtId="168" fontId="1" fillId="0" borderId="0" xfId="0" applyNumberFormat="1" applyFont="1" applyAlignment="1">
      <alignment horizontal="right"/>
    </xf>
    <xf numFmtId="0" fontId="1" fillId="0" borderId="0" xfId="0" applyFont="1" applyAlignment="1">
      <alignment shrinkToFit="1"/>
    </xf>
    <xf numFmtId="0" fontId="1" fillId="0" borderId="0" xfId="0" applyFont="1" applyAlignment="1">
      <alignment horizontal="center"/>
    </xf>
    <xf numFmtId="0" fontId="8" fillId="0" borderId="3" xfId="0" applyFont="1" applyBorder="1" applyAlignment="1">
      <alignment horizontal="left" wrapText="1"/>
    </xf>
    <xf numFmtId="0" fontId="8" fillId="0" borderId="7" xfId="0" applyFont="1" applyBorder="1"/>
    <xf numFmtId="0" fontId="1" fillId="0" borderId="7" xfId="0" applyFont="1" applyBorder="1" applyAlignment="1">
      <alignment vertical="center" shrinkToFit="1"/>
    </xf>
    <xf numFmtId="0" fontId="1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wrapText="1"/>
    </xf>
    <xf numFmtId="0" fontId="8" fillId="0" borderId="12" xfId="0" applyFont="1" applyBorder="1" applyAlignment="1">
      <alignment horizontal="left" wrapText="1"/>
    </xf>
    <xf numFmtId="2" fontId="8" fillId="0" borderId="0" xfId="5" applyNumberFormat="1" applyFont="1"/>
    <xf numFmtId="0" fontId="12" fillId="0" borderId="0" xfId="0" applyFont="1" applyAlignment="1">
      <alignment vertical="center"/>
    </xf>
    <xf numFmtId="166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0" fontId="10" fillId="0" borderId="0" xfId="0" applyFont="1" applyAlignment="1">
      <alignment horizontal="left" vertical="center" shrinkToFit="1"/>
    </xf>
    <xf numFmtId="0" fontId="22" fillId="0" borderId="0" xfId="0" applyFont="1" applyAlignment="1">
      <alignment shrinkToFit="1"/>
    </xf>
    <xf numFmtId="0" fontId="23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168" fontId="24" fillId="0" borderId="0" xfId="0" applyNumberFormat="1" applyFont="1" applyAlignment="1">
      <alignment shrinkToFit="1"/>
    </xf>
    <xf numFmtId="168" fontId="24" fillId="0" borderId="0" xfId="0" applyNumberFormat="1" applyFont="1"/>
    <xf numFmtId="168" fontId="21" fillId="0" borderId="0" xfId="0" applyNumberFormat="1" applyFont="1" applyAlignment="1">
      <alignment wrapText="1"/>
    </xf>
    <xf numFmtId="168" fontId="1" fillId="0" borderId="0" xfId="0" applyNumberFormat="1" applyFont="1"/>
    <xf numFmtId="0" fontId="21" fillId="0" borderId="0" xfId="0" applyFont="1" applyAlignment="1">
      <alignment horizontal="left"/>
    </xf>
    <xf numFmtId="164" fontId="8" fillId="0" borderId="0" xfId="13" applyFont="1"/>
    <xf numFmtId="1" fontId="2" fillId="4" borderId="1" xfId="0" applyNumberFormat="1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/>
    </xf>
    <xf numFmtId="171" fontId="8" fillId="4" borderId="0" xfId="0" applyNumberFormat="1" applyFont="1" applyFill="1" applyAlignment="1">
      <alignment horizontal="center"/>
    </xf>
    <xf numFmtId="171" fontId="8" fillId="4" borderId="0" xfId="13" applyNumberFormat="1" applyFont="1" applyFill="1"/>
    <xf numFmtId="171" fontId="8" fillId="0" borderId="0" xfId="13" applyNumberFormat="1" applyFont="1" applyFill="1"/>
  </cellXfs>
  <cellStyles count="14">
    <cellStyle name="Normal" xfId="0" builtinId="0"/>
    <cellStyle name="Normal 2" xfId="1"/>
    <cellStyle name="Normal 4" xfId="10"/>
    <cellStyle name="ParaBirimi 3" xfId="9"/>
    <cellStyle name="Virgül" xfId="13" builtinId="3"/>
    <cellStyle name="Virgül 2" xfId="5"/>
    <cellStyle name="Virgül 2 2" xfId="7"/>
    <cellStyle name="Virgül 2 3" xfId="8"/>
    <cellStyle name="Virgül 3" xfId="2"/>
    <cellStyle name="Virgül 4" xfId="6"/>
    <cellStyle name="Virgül 4 2" xfId="11"/>
    <cellStyle name="Yüzde" xfId="3" builtinId="5"/>
    <cellStyle name="Yüzde 2" xfId="4"/>
    <cellStyle name="Yüzde 3 2" xfId="12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92342</xdr:colOff>
      <xdr:row>1</xdr:row>
      <xdr:rowOff>0</xdr:rowOff>
    </xdr:from>
    <xdr:ext cx="846666" cy="615095"/>
    <xdr:pic>
      <xdr:nvPicPr>
        <xdr:cNvPr id="2" name="Resim 1">
          <a:extLst>
            <a:ext uri="{FF2B5EF4-FFF2-40B4-BE49-F238E27FC236}">
              <a16:creationId xmlns:a16="http://schemas.microsoft.com/office/drawing/2014/main" xmlns="" id="{26745A64-8ED9-47BA-8AF0-65D0F2A62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061" y="477083"/>
          <a:ext cx="846666" cy="61509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58783</xdr:colOff>
      <xdr:row>0</xdr:row>
      <xdr:rowOff>68036</xdr:rowOff>
    </xdr:from>
    <xdr:ext cx="1203502" cy="876300"/>
    <xdr:pic>
      <xdr:nvPicPr>
        <xdr:cNvPr id="2" name="Resim 1">
          <a:extLst>
            <a:ext uri="{FF2B5EF4-FFF2-40B4-BE49-F238E27FC236}">
              <a16:creationId xmlns:a16="http://schemas.microsoft.com/office/drawing/2014/main" xmlns="" id="{9B5831FF-ABF4-4E73-A7AB-6A53568EA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4783" y="68036"/>
          <a:ext cx="1203502" cy="876300"/>
        </a:xfrm>
        <a:prstGeom prst="rect">
          <a:avLst/>
        </a:prstGeom>
      </xdr:spPr>
    </xdr:pic>
    <xdr:clientData/>
  </xdr:oneCellAnchor>
  <xdr:oneCellAnchor>
    <xdr:from>
      <xdr:col>1</xdr:col>
      <xdr:colOff>587876</xdr:colOff>
      <xdr:row>100</xdr:row>
      <xdr:rowOff>0</xdr:rowOff>
    </xdr:from>
    <xdr:ext cx="0" cy="914400"/>
    <xdr:pic>
      <xdr:nvPicPr>
        <xdr:cNvPr id="3" name="40 Resim" descr="_DSC0053.JPG">
          <a:extLst>
            <a:ext uri="{FF2B5EF4-FFF2-40B4-BE49-F238E27FC236}">
              <a16:creationId xmlns:a16="http://schemas.microsoft.com/office/drawing/2014/main" xmlns="" id="{8380E8FF-582A-4259-AEE7-4EBEE6B17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226301" y="30794325"/>
          <a:ext cx="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4355</xdr:colOff>
      <xdr:row>0</xdr:row>
      <xdr:rowOff>61232</xdr:rowOff>
    </xdr:from>
    <xdr:ext cx="1203502" cy="876300"/>
    <xdr:pic>
      <xdr:nvPicPr>
        <xdr:cNvPr id="2" name="Resim 1">
          <a:extLst>
            <a:ext uri="{FF2B5EF4-FFF2-40B4-BE49-F238E27FC236}">
              <a16:creationId xmlns:a16="http://schemas.microsoft.com/office/drawing/2014/main" xmlns="" id="{E624413E-AFC3-498C-A13E-B47D64248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605" y="61232"/>
          <a:ext cx="1203502" cy="876300"/>
        </a:xfrm>
        <a:prstGeom prst="rect">
          <a:avLst/>
        </a:prstGeom>
      </xdr:spPr>
    </xdr:pic>
    <xdr:clientData/>
  </xdr:oneCellAnchor>
  <xdr:oneCellAnchor>
    <xdr:from>
      <xdr:col>3</xdr:col>
      <xdr:colOff>587876</xdr:colOff>
      <xdr:row>40</xdr:row>
      <xdr:rowOff>0</xdr:rowOff>
    </xdr:from>
    <xdr:ext cx="0" cy="914400"/>
    <xdr:pic>
      <xdr:nvPicPr>
        <xdr:cNvPr id="3" name="40 Resim" descr="_DSC0053.JPG">
          <a:extLst>
            <a:ext uri="{FF2B5EF4-FFF2-40B4-BE49-F238E27FC236}">
              <a16:creationId xmlns:a16="http://schemas.microsoft.com/office/drawing/2014/main" xmlns="" id="{5985C99A-22E9-4F78-A25E-5D8C67943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673726" y="8096250"/>
          <a:ext cx="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587876</xdr:colOff>
      <xdr:row>40</xdr:row>
      <xdr:rowOff>0</xdr:rowOff>
    </xdr:from>
    <xdr:ext cx="0" cy="914400"/>
    <xdr:pic>
      <xdr:nvPicPr>
        <xdr:cNvPr id="4" name="40 Resim" descr="_DSC0053.JPG">
          <a:extLst>
            <a:ext uri="{FF2B5EF4-FFF2-40B4-BE49-F238E27FC236}">
              <a16:creationId xmlns:a16="http://schemas.microsoft.com/office/drawing/2014/main" xmlns="" id="{0C26D4F9-A2F7-4E7D-A115-E44BAADF4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673726" y="8096250"/>
          <a:ext cx="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45175</xdr:colOff>
      <xdr:row>1</xdr:row>
      <xdr:rowOff>6804</xdr:rowOff>
    </xdr:from>
    <xdr:ext cx="1203502" cy="876300"/>
    <xdr:pic>
      <xdr:nvPicPr>
        <xdr:cNvPr id="2" name="Resim 1">
          <a:extLst>
            <a:ext uri="{FF2B5EF4-FFF2-40B4-BE49-F238E27FC236}">
              <a16:creationId xmlns:a16="http://schemas.microsoft.com/office/drawing/2014/main" xmlns="" id="{84E2621E-1E48-4089-BB46-922C55E3E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925" y="88447"/>
          <a:ext cx="1203502" cy="876300"/>
        </a:xfrm>
        <a:prstGeom prst="rect">
          <a:avLst/>
        </a:prstGeom>
      </xdr:spPr>
    </xdr:pic>
    <xdr:clientData/>
  </xdr:oneCellAnchor>
  <xdr:oneCellAnchor>
    <xdr:from>
      <xdr:col>3</xdr:col>
      <xdr:colOff>587876</xdr:colOff>
      <xdr:row>21</xdr:row>
      <xdr:rowOff>0</xdr:rowOff>
    </xdr:from>
    <xdr:ext cx="0" cy="914400"/>
    <xdr:pic>
      <xdr:nvPicPr>
        <xdr:cNvPr id="3" name="40 Resim" descr="_DSC0053.JPG">
          <a:extLst>
            <a:ext uri="{FF2B5EF4-FFF2-40B4-BE49-F238E27FC236}">
              <a16:creationId xmlns:a16="http://schemas.microsoft.com/office/drawing/2014/main" xmlns="" id="{04F54E9D-C700-44F1-A70A-09EE9FB7F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69001" y="6524625"/>
          <a:ext cx="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587876</xdr:colOff>
      <xdr:row>21</xdr:row>
      <xdr:rowOff>0</xdr:rowOff>
    </xdr:from>
    <xdr:ext cx="0" cy="914400"/>
    <xdr:pic>
      <xdr:nvPicPr>
        <xdr:cNvPr id="4" name="40 Resim" descr="_DSC0053.JPG">
          <a:extLst>
            <a:ext uri="{FF2B5EF4-FFF2-40B4-BE49-F238E27FC236}">
              <a16:creationId xmlns:a16="http://schemas.microsoft.com/office/drawing/2014/main" xmlns="" id="{8E24C79A-0471-42EA-A1E7-2128A71C3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69001" y="6524625"/>
          <a:ext cx="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4">
    <tabColor rgb="FFFF0000"/>
  </sheetPr>
  <dimension ref="A2:G215"/>
  <sheetViews>
    <sheetView showGridLines="0" tabSelected="1" zoomScale="110" zoomScaleNormal="110" zoomScaleSheetLayoutView="80" workbookViewId="0">
      <pane ySplit="5" topLeftCell="A6" activePane="bottomLeft" state="frozen"/>
      <selection activeCell="V6" sqref="V6"/>
      <selection pane="bottomLeft" activeCell="B213" sqref="B213:C216"/>
    </sheetView>
  </sheetViews>
  <sheetFormatPr defaultColWidth="8.875" defaultRowHeight="14.25"/>
  <cols>
    <col min="1" max="1" width="3" style="55" customWidth="1"/>
    <col min="2" max="2" width="12" style="56" customWidth="1"/>
    <col min="3" max="3" width="40.875" style="57" customWidth="1"/>
    <col min="4" max="4" width="10.25" style="56" customWidth="1"/>
    <col min="5" max="5" width="11.625" style="58" customWidth="1"/>
    <col min="6" max="6" width="9.75" style="58" customWidth="1"/>
    <col min="7" max="16384" width="8.875" style="53"/>
  </cols>
  <sheetData>
    <row r="2" spans="1:7" ht="19.5">
      <c r="C2" s="70"/>
      <c r="E2" s="71"/>
    </row>
    <row r="3" spans="1:7" ht="16.5" customHeight="1">
      <c r="B3" s="72"/>
      <c r="C3" s="72"/>
    </row>
    <row r="4" spans="1:7" ht="18">
      <c r="B4" s="72"/>
      <c r="C4" s="73"/>
      <c r="D4" s="74"/>
      <c r="E4" s="74"/>
      <c r="F4" s="74"/>
      <c r="G4" s="78"/>
    </row>
    <row r="5" spans="1:7" ht="47.25" customHeight="1">
      <c r="B5" s="12" t="s">
        <v>10</v>
      </c>
      <c r="C5" s="13" t="s">
        <v>11</v>
      </c>
      <c r="D5" s="12" t="s">
        <v>9</v>
      </c>
      <c r="E5" s="12" t="s">
        <v>651</v>
      </c>
      <c r="F5" s="13" t="s">
        <v>668</v>
      </c>
      <c r="G5" s="79" t="s">
        <v>710</v>
      </c>
    </row>
    <row r="6" spans="1:7" s="14" customFormat="1" ht="26.25">
      <c r="B6" s="23" t="s">
        <v>0</v>
      </c>
      <c r="C6" s="25"/>
      <c r="D6" s="25"/>
      <c r="E6" s="25"/>
      <c r="F6" s="25"/>
      <c r="G6" s="80"/>
    </row>
    <row r="7" spans="1:7" ht="22.15" customHeight="1">
      <c r="B7" s="1" t="s">
        <v>1</v>
      </c>
      <c r="C7" s="2" t="s">
        <v>2</v>
      </c>
      <c r="D7" s="59" t="s">
        <v>13</v>
      </c>
      <c r="E7" s="3" t="s">
        <v>390</v>
      </c>
      <c r="F7" s="3">
        <v>6</v>
      </c>
      <c r="G7" s="82">
        <v>24.77</v>
      </c>
    </row>
    <row r="8" spans="1:7" ht="22.15" customHeight="1">
      <c r="B8" s="1" t="s">
        <v>3</v>
      </c>
      <c r="C8" s="2" t="s">
        <v>4</v>
      </c>
      <c r="D8" s="59" t="s">
        <v>13</v>
      </c>
      <c r="E8" s="3" t="s">
        <v>390</v>
      </c>
      <c r="F8" s="3">
        <v>6</v>
      </c>
      <c r="G8" s="82">
        <v>22.82</v>
      </c>
    </row>
    <row r="9" spans="1:7" ht="22.15" customHeight="1">
      <c r="B9" s="60" t="s">
        <v>5</v>
      </c>
      <c r="C9" s="61" t="s">
        <v>6</v>
      </c>
      <c r="D9" s="59" t="s">
        <v>13</v>
      </c>
      <c r="E9" s="62" t="s">
        <v>390</v>
      </c>
      <c r="F9" s="62">
        <v>6</v>
      </c>
      <c r="G9" s="82">
        <v>20.2</v>
      </c>
    </row>
    <row r="10" spans="1:7" ht="22.15" customHeight="1">
      <c r="B10" s="63" t="s">
        <v>7</v>
      </c>
      <c r="C10" s="61" t="s">
        <v>8</v>
      </c>
      <c r="D10" s="64" t="s">
        <v>13</v>
      </c>
      <c r="E10" s="62" t="s">
        <v>390</v>
      </c>
      <c r="F10" s="62">
        <v>6</v>
      </c>
      <c r="G10" s="82">
        <v>17.41</v>
      </c>
    </row>
    <row r="11" spans="1:7" s="14" customFormat="1" ht="26.25">
      <c r="B11" s="23" t="s">
        <v>14</v>
      </c>
      <c r="C11" s="25"/>
      <c r="D11" s="25"/>
      <c r="E11" s="25"/>
      <c r="F11" s="25"/>
      <c r="G11" s="82">
        <v>0</v>
      </c>
    </row>
    <row r="12" spans="1:7" ht="22.15" customHeight="1">
      <c r="B12" s="60" t="s">
        <v>15</v>
      </c>
      <c r="C12" s="61" t="s">
        <v>16</v>
      </c>
      <c r="D12" s="59" t="s">
        <v>13</v>
      </c>
      <c r="E12" s="62" t="s">
        <v>391</v>
      </c>
      <c r="F12" s="62">
        <v>10</v>
      </c>
      <c r="G12" s="82">
        <v>13.29</v>
      </c>
    </row>
    <row r="13" spans="1:7" ht="21" customHeight="1">
      <c r="B13" s="60" t="s">
        <v>17</v>
      </c>
      <c r="C13" s="61" t="s">
        <v>18</v>
      </c>
      <c r="D13" s="59" t="s">
        <v>13</v>
      </c>
      <c r="E13" s="62" t="s">
        <v>391</v>
      </c>
      <c r="F13" s="62">
        <v>10</v>
      </c>
      <c r="G13" s="82">
        <v>10.43</v>
      </c>
    </row>
    <row r="14" spans="1:7" s="14" customFormat="1" ht="22.15" customHeight="1">
      <c r="B14" s="23" t="s">
        <v>19</v>
      </c>
      <c r="C14" s="25"/>
      <c r="D14" s="25"/>
      <c r="E14" s="25"/>
      <c r="F14" s="25"/>
      <c r="G14" s="82">
        <v>0</v>
      </c>
    </row>
    <row r="15" spans="1:7" customFormat="1" ht="22.15" customHeight="1">
      <c r="A15" s="55"/>
      <c r="B15" s="60" t="s">
        <v>20</v>
      </c>
      <c r="C15" s="61" t="s">
        <v>673</v>
      </c>
      <c r="D15" s="59" t="s">
        <v>13</v>
      </c>
      <c r="E15" s="62" t="s">
        <v>391</v>
      </c>
      <c r="F15" s="62">
        <v>10</v>
      </c>
      <c r="G15" s="82">
        <v>10.25</v>
      </c>
    </row>
    <row r="16" spans="1:7" customFormat="1" ht="22.15" customHeight="1">
      <c r="A16" s="55"/>
      <c r="B16" s="60" t="s">
        <v>21</v>
      </c>
      <c r="C16" s="61" t="s">
        <v>22</v>
      </c>
      <c r="D16" s="59" t="s">
        <v>13</v>
      </c>
      <c r="E16" s="62" t="s">
        <v>390</v>
      </c>
      <c r="F16" s="62">
        <v>8</v>
      </c>
      <c r="G16" s="82">
        <v>17</v>
      </c>
    </row>
    <row r="17" spans="1:7" customFormat="1" ht="22.15" customHeight="1">
      <c r="A17" s="55"/>
      <c r="B17" s="60" t="s">
        <v>23</v>
      </c>
      <c r="C17" s="61" t="s">
        <v>24</v>
      </c>
      <c r="D17" s="59" t="s">
        <v>13</v>
      </c>
      <c r="E17" s="62" t="s">
        <v>392</v>
      </c>
      <c r="F17" s="62">
        <v>8</v>
      </c>
      <c r="G17" s="82">
        <v>15.4</v>
      </c>
    </row>
    <row r="18" spans="1:7" customFormat="1" ht="22.15" customHeight="1">
      <c r="A18" s="55"/>
      <c r="B18" s="60" t="s">
        <v>25</v>
      </c>
      <c r="C18" s="61" t="s">
        <v>26</v>
      </c>
      <c r="D18" s="59" t="s">
        <v>13</v>
      </c>
      <c r="E18" s="62" t="s">
        <v>391</v>
      </c>
      <c r="F18" s="62">
        <v>10</v>
      </c>
      <c r="G18" s="82">
        <v>10.42</v>
      </c>
    </row>
    <row r="19" spans="1:7" customFormat="1" ht="22.15" customHeight="1">
      <c r="A19" s="55"/>
      <c r="B19" s="60" t="s">
        <v>27</v>
      </c>
      <c r="C19" s="61" t="s">
        <v>28</v>
      </c>
      <c r="D19" s="59" t="s">
        <v>13</v>
      </c>
      <c r="E19" s="62" t="s">
        <v>391</v>
      </c>
      <c r="F19" s="62">
        <v>10</v>
      </c>
      <c r="G19" s="82">
        <v>10.42</v>
      </c>
    </row>
    <row r="20" spans="1:7" customFormat="1" ht="22.15" customHeight="1">
      <c r="A20" s="55"/>
      <c r="B20" s="60" t="s">
        <v>29</v>
      </c>
      <c r="C20" s="61" t="s">
        <v>30</v>
      </c>
      <c r="D20" s="59" t="s">
        <v>13</v>
      </c>
      <c r="E20" s="62" t="s">
        <v>393</v>
      </c>
      <c r="F20" s="62">
        <v>1</v>
      </c>
      <c r="G20" s="82">
        <v>99.57</v>
      </c>
    </row>
    <row r="21" spans="1:7" customFormat="1" ht="22.15" customHeight="1">
      <c r="A21" s="55"/>
      <c r="B21" s="60" t="s">
        <v>31</v>
      </c>
      <c r="C21" s="61" t="s">
        <v>32</v>
      </c>
      <c r="D21" s="59" t="s">
        <v>13</v>
      </c>
      <c r="E21" s="62" t="s">
        <v>393</v>
      </c>
      <c r="F21" s="62">
        <v>1</v>
      </c>
      <c r="G21" s="82">
        <v>99.92</v>
      </c>
    </row>
    <row r="22" spans="1:7" customFormat="1" ht="22.15" customHeight="1">
      <c r="A22" s="55"/>
      <c r="B22" s="60" t="s">
        <v>33</v>
      </c>
      <c r="C22" s="61" t="s">
        <v>34</v>
      </c>
      <c r="D22" s="59" t="s">
        <v>13</v>
      </c>
      <c r="E22" s="62" t="s">
        <v>393</v>
      </c>
      <c r="F22" s="62">
        <v>1</v>
      </c>
      <c r="G22" s="82">
        <v>82.97</v>
      </c>
    </row>
    <row r="23" spans="1:7" s="14" customFormat="1" ht="22.15" customHeight="1">
      <c r="B23" s="23" t="s">
        <v>35</v>
      </c>
      <c r="C23" s="25"/>
      <c r="D23" s="25"/>
      <c r="E23" s="25"/>
      <c r="F23" s="25"/>
      <c r="G23" s="82">
        <v>0</v>
      </c>
    </row>
    <row r="24" spans="1:7" customFormat="1" ht="22.15" customHeight="1">
      <c r="A24" s="55"/>
      <c r="B24" s="60" t="s">
        <v>36</v>
      </c>
      <c r="C24" s="61" t="s">
        <v>37</v>
      </c>
      <c r="D24" s="59" t="s">
        <v>13</v>
      </c>
      <c r="E24" s="62" t="s">
        <v>391</v>
      </c>
      <c r="F24" s="62">
        <v>10</v>
      </c>
      <c r="G24" s="82">
        <v>4.67</v>
      </c>
    </row>
    <row r="25" spans="1:7" customFormat="1" ht="22.15" customHeight="1">
      <c r="A25" s="55"/>
      <c r="B25" s="60" t="s">
        <v>38</v>
      </c>
      <c r="C25" s="61" t="s">
        <v>39</v>
      </c>
      <c r="D25" s="59" t="s">
        <v>13</v>
      </c>
      <c r="E25" s="62" t="s">
        <v>391</v>
      </c>
      <c r="F25" s="62">
        <v>10</v>
      </c>
      <c r="G25" s="82">
        <v>6.07</v>
      </c>
    </row>
    <row r="26" spans="1:7" ht="22.15" customHeight="1">
      <c r="B26" s="60" t="s">
        <v>40</v>
      </c>
      <c r="C26" s="61" t="s">
        <v>41</v>
      </c>
      <c r="D26" s="59" t="s">
        <v>42</v>
      </c>
      <c r="E26" s="62" t="s">
        <v>394</v>
      </c>
      <c r="F26" s="62">
        <v>12</v>
      </c>
      <c r="G26" s="82">
        <v>8.16</v>
      </c>
    </row>
    <row r="27" spans="1:7" customFormat="1" ht="22.15" customHeight="1">
      <c r="A27" s="55"/>
      <c r="B27" s="1" t="s">
        <v>43</v>
      </c>
      <c r="C27" s="2" t="s">
        <v>44</v>
      </c>
      <c r="D27" s="59" t="s">
        <v>13</v>
      </c>
      <c r="E27" s="3" t="s">
        <v>391</v>
      </c>
      <c r="F27" s="3">
        <v>10</v>
      </c>
      <c r="G27" s="82">
        <v>5.25</v>
      </c>
    </row>
    <row r="28" spans="1:7" s="14" customFormat="1" ht="26.25">
      <c r="B28" s="23" t="s">
        <v>45</v>
      </c>
      <c r="C28" s="25"/>
      <c r="D28" s="25"/>
      <c r="E28" s="25"/>
      <c r="F28" s="25"/>
      <c r="G28" s="82">
        <v>0</v>
      </c>
    </row>
    <row r="29" spans="1:7" ht="22.15" customHeight="1">
      <c r="B29" s="60" t="s">
        <v>46</v>
      </c>
      <c r="C29" s="61" t="s">
        <v>47</v>
      </c>
      <c r="D29" s="59" t="s">
        <v>48</v>
      </c>
      <c r="E29" s="62" t="s">
        <v>390</v>
      </c>
      <c r="F29" s="62">
        <v>8</v>
      </c>
      <c r="G29" s="82">
        <v>9.5</v>
      </c>
    </row>
    <row r="30" spans="1:7" ht="22.15" customHeight="1">
      <c r="B30" s="60" t="s">
        <v>49</v>
      </c>
      <c r="C30" s="61" t="s">
        <v>50</v>
      </c>
      <c r="D30" s="59" t="s">
        <v>48</v>
      </c>
      <c r="E30" s="62" t="s">
        <v>390</v>
      </c>
      <c r="F30" s="62">
        <v>8</v>
      </c>
      <c r="G30" s="82">
        <v>7.24</v>
      </c>
    </row>
    <row r="31" spans="1:7" ht="22.15" customHeight="1">
      <c r="B31" s="1" t="s">
        <v>51</v>
      </c>
      <c r="C31" s="2" t="s">
        <v>52</v>
      </c>
      <c r="D31" s="59" t="s">
        <v>48</v>
      </c>
      <c r="E31" s="3" t="s">
        <v>390</v>
      </c>
      <c r="F31" s="3">
        <v>8</v>
      </c>
      <c r="G31" s="82">
        <v>8.0299999999999994</v>
      </c>
    </row>
    <row r="32" spans="1:7" s="14" customFormat="1" ht="22.15" customHeight="1">
      <c r="B32" s="23" t="s">
        <v>53</v>
      </c>
      <c r="C32" s="25"/>
      <c r="D32" s="25"/>
      <c r="E32" s="25"/>
      <c r="F32" s="25"/>
      <c r="G32" s="82">
        <v>0</v>
      </c>
    </row>
    <row r="33" spans="2:7" ht="22.15" customHeight="1">
      <c r="B33" s="60" t="s">
        <v>54</v>
      </c>
      <c r="C33" s="61" t="s">
        <v>55</v>
      </c>
      <c r="D33" s="59" t="s">
        <v>48</v>
      </c>
      <c r="E33" s="62" t="s">
        <v>390</v>
      </c>
      <c r="F33" s="62">
        <v>8</v>
      </c>
      <c r="G33" s="82">
        <v>6.26</v>
      </c>
    </row>
    <row r="34" spans="2:7" ht="22.15" customHeight="1">
      <c r="B34" s="60" t="s">
        <v>656</v>
      </c>
      <c r="C34" s="61" t="s">
        <v>669</v>
      </c>
      <c r="D34" s="59" t="s">
        <v>48</v>
      </c>
      <c r="E34" s="62" t="s">
        <v>390</v>
      </c>
      <c r="F34" s="62">
        <v>8</v>
      </c>
      <c r="G34" s="82">
        <v>6.26</v>
      </c>
    </row>
    <row r="35" spans="2:7" s="14" customFormat="1" ht="22.15" customHeight="1">
      <c r="B35" s="23" t="s">
        <v>56</v>
      </c>
      <c r="C35" s="25"/>
      <c r="D35" s="25"/>
      <c r="E35" s="25"/>
      <c r="F35" s="25"/>
      <c r="G35" s="82">
        <v>0</v>
      </c>
    </row>
    <row r="36" spans="2:7" ht="22.15" customHeight="1">
      <c r="B36" s="1" t="s">
        <v>57</v>
      </c>
      <c r="C36" s="2" t="s">
        <v>58</v>
      </c>
      <c r="D36" s="59" t="s">
        <v>13</v>
      </c>
      <c r="E36" s="3" t="s">
        <v>391</v>
      </c>
      <c r="F36" s="3">
        <v>8</v>
      </c>
      <c r="G36" s="82">
        <v>12.94</v>
      </c>
    </row>
    <row r="37" spans="2:7" s="14" customFormat="1" ht="22.15" customHeight="1">
      <c r="B37" s="23" t="s">
        <v>59</v>
      </c>
      <c r="C37" s="25"/>
      <c r="D37" s="25"/>
      <c r="E37" s="25"/>
      <c r="F37" s="25"/>
      <c r="G37" s="82">
        <v>0</v>
      </c>
    </row>
    <row r="38" spans="2:7" ht="22.15" customHeight="1">
      <c r="B38" s="1" t="s">
        <v>60</v>
      </c>
      <c r="C38" s="2" t="s">
        <v>61</v>
      </c>
      <c r="D38" s="59" t="s">
        <v>13</v>
      </c>
      <c r="E38" s="3" t="s">
        <v>395</v>
      </c>
      <c r="F38" s="3">
        <v>10</v>
      </c>
      <c r="G38" s="82">
        <v>5.37</v>
      </c>
    </row>
    <row r="39" spans="2:7" s="14" customFormat="1" ht="22.15" customHeight="1">
      <c r="B39" s="23" t="s">
        <v>62</v>
      </c>
      <c r="C39" s="25"/>
      <c r="D39" s="25"/>
      <c r="E39" s="25"/>
      <c r="F39" s="25"/>
      <c r="G39" s="82">
        <v>0</v>
      </c>
    </row>
    <row r="40" spans="2:7" ht="22.15" customHeight="1">
      <c r="B40" s="60" t="s">
        <v>63</v>
      </c>
      <c r="C40" s="61" t="s">
        <v>64</v>
      </c>
      <c r="D40" s="59" t="s">
        <v>13</v>
      </c>
      <c r="E40" s="62" t="s">
        <v>390</v>
      </c>
      <c r="F40" s="62">
        <v>8</v>
      </c>
      <c r="G40" s="82">
        <v>7.41</v>
      </c>
    </row>
    <row r="41" spans="2:7" ht="22.15" customHeight="1">
      <c r="B41" s="1" t="s">
        <v>65</v>
      </c>
      <c r="C41" s="2" t="s">
        <v>66</v>
      </c>
      <c r="D41" s="59" t="s">
        <v>13</v>
      </c>
      <c r="E41" s="3" t="s">
        <v>390</v>
      </c>
      <c r="F41" s="3">
        <v>8</v>
      </c>
      <c r="G41" s="82">
        <v>7.15</v>
      </c>
    </row>
    <row r="42" spans="2:7" ht="22.15" customHeight="1">
      <c r="B42" s="60" t="s">
        <v>67</v>
      </c>
      <c r="C42" s="61" t="s">
        <v>68</v>
      </c>
      <c r="D42" s="59" t="s">
        <v>13</v>
      </c>
      <c r="E42" s="62" t="s">
        <v>390</v>
      </c>
      <c r="F42" s="62">
        <v>8</v>
      </c>
      <c r="G42" s="82">
        <v>6.51</v>
      </c>
    </row>
    <row r="43" spans="2:7" ht="22.15" customHeight="1">
      <c r="B43" s="60" t="s">
        <v>69</v>
      </c>
      <c r="C43" s="61" t="s">
        <v>70</v>
      </c>
      <c r="D43" s="59" t="s">
        <v>13</v>
      </c>
      <c r="E43" s="62" t="s">
        <v>390</v>
      </c>
      <c r="F43" s="62">
        <v>8</v>
      </c>
      <c r="G43" s="82">
        <v>5.91</v>
      </c>
    </row>
    <row r="44" spans="2:7" ht="22.15" customHeight="1">
      <c r="B44" s="60" t="s">
        <v>71</v>
      </c>
      <c r="C44" s="61" t="s">
        <v>72</v>
      </c>
      <c r="D44" s="59" t="s">
        <v>13</v>
      </c>
      <c r="E44" s="62" t="s">
        <v>390</v>
      </c>
      <c r="F44" s="62">
        <v>8</v>
      </c>
      <c r="G44" s="82">
        <v>5.91</v>
      </c>
    </row>
    <row r="45" spans="2:7" ht="22.15" customHeight="1">
      <c r="B45" s="60" t="s">
        <v>73</v>
      </c>
      <c r="C45" s="61" t="s">
        <v>74</v>
      </c>
      <c r="D45" s="59" t="s">
        <v>13</v>
      </c>
      <c r="E45" s="62" t="s">
        <v>390</v>
      </c>
      <c r="F45" s="62">
        <v>8</v>
      </c>
      <c r="G45" s="82">
        <v>5.91</v>
      </c>
    </row>
    <row r="46" spans="2:7" ht="22.15" customHeight="1">
      <c r="B46" s="60" t="s">
        <v>75</v>
      </c>
      <c r="C46" s="61" t="s">
        <v>76</v>
      </c>
      <c r="D46" s="59" t="s">
        <v>13</v>
      </c>
      <c r="E46" s="62" t="s">
        <v>390</v>
      </c>
      <c r="F46" s="62">
        <v>8</v>
      </c>
      <c r="G46" s="82">
        <v>5.91</v>
      </c>
    </row>
    <row r="47" spans="2:7" ht="22.15" customHeight="1">
      <c r="B47" s="60" t="s">
        <v>77</v>
      </c>
      <c r="C47" s="61" t="s">
        <v>78</v>
      </c>
      <c r="D47" s="59" t="s">
        <v>13</v>
      </c>
      <c r="E47" s="62" t="s">
        <v>390</v>
      </c>
      <c r="F47" s="62">
        <v>8</v>
      </c>
      <c r="G47" s="82">
        <v>5.91</v>
      </c>
    </row>
    <row r="48" spans="2:7" ht="22.15" customHeight="1">
      <c r="B48" s="60" t="s">
        <v>79</v>
      </c>
      <c r="C48" s="61" t="s">
        <v>80</v>
      </c>
      <c r="D48" s="59" t="s">
        <v>13</v>
      </c>
      <c r="E48" s="62" t="s">
        <v>390</v>
      </c>
      <c r="F48" s="62">
        <v>8</v>
      </c>
      <c r="G48" s="82">
        <v>5.91</v>
      </c>
    </row>
    <row r="49" spans="2:7" ht="22.15" customHeight="1">
      <c r="B49" s="60" t="s">
        <v>81</v>
      </c>
      <c r="C49" s="61" t="s">
        <v>82</v>
      </c>
      <c r="D49" s="59" t="s">
        <v>13</v>
      </c>
      <c r="E49" s="62" t="s">
        <v>390</v>
      </c>
      <c r="F49" s="62">
        <v>8</v>
      </c>
      <c r="G49" s="82">
        <v>5.91</v>
      </c>
    </row>
    <row r="50" spans="2:7" s="14" customFormat="1" ht="25.15" customHeight="1">
      <c r="B50" s="23" t="s">
        <v>83</v>
      </c>
      <c r="C50" s="25"/>
      <c r="D50" s="25"/>
      <c r="E50" s="25"/>
      <c r="F50" s="25"/>
      <c r="G50" s="82">
        <v>0</v>
      </c>
    </row>
    <row r="51" spans="2:7" ht="22.15" customHeight="1">
      <c r="B51" s="60" t="s">
        <v>84</v>
      </c>
      <c r="C51" s="61" t="s">
        <v>85</v>
      </c>
      <c r="D51" s="59" t="s">
        <v>13</v>
      </c>
      <c r="E51" s="62" t="s">
        <v>396</v>
      </c>
      <c r="F51" s="62">
        <v>10</v>
      </c>
      <c r="G51" s="82">
        <v>14.71</v>
      </c>
    </row>
    <row r="52" spans="2:7" ht="22.15" customHeight="1">
      <c r="B52" s="60" t="s">
        <v>86</v>
      </c>
      <c r="C52" s="61" t="s">
        <v>87</v>
      </c>
      <c r="D52" s="59" t="s">
        <v>13</v>
      </c>
      <c r="E52" s="62" t="s">
        <v>396</v>
      </c>
      <c r="F52" s="62">
        <v>8</v>
      </c>
      <c r="G52" s="82">
        <v>5.25</v>
      </c>
    </row>
    <row r="53" spans="2:7" ht="22.15" customHeight="1">
      <c r="B53" s="60" t="s">
        <v>88</v>
      </c>
      <c r="C53" s="61" t="s">
        <v>89</v>
      </c>
      <c r="D53" s="59" t="s">
        <v>13</v>
      </c>
      <c r="E53" s="62" t="s">
        <v>396</v>
      </c>
      <c r="F53" s="62">
        <v>10</v>
      </c>
      <c r="G53" s="82">
        <v>7.19</v>
      </c>
    </row>
    <row r="54" spans="2:7" ht="22.15" customHeight="1">
      <c r="B54" s="60" t="s">
        <v>90</v>
      </c>
      <c r="C54" s="61" t="s">
        <v>91</v>
      </c>
      <c r="D54" s="59" t="s">
        <v>13</v>
      </c>
      <c r="E54" s="62" t="s">
        <v>396</v>
      </c>
      <c r="F54" s="62">
        <v>14</v>
      </c>
      <c r="G54" s="82">
        <v>4.74</v>
      </c>
    </row>
    <row r="55" spans="2:7" ht="22.15" customHeight="1">
      <c r="B55" s="60" t="s">
        <v>652</v>
      </c>
      <c r="C55" s="61" t="s">
        <v>671</v>
      </c>
      <c r="D55" s="59" t="s">
        <v>13</v>
      </c>
      <c r="E55" s="62" t="s">
        <v>396</v>
      </c>
      <c r="F55" s="62">
        <v>10</v>
      </c>
      <c r="G55" s="82">
        <v>5.34</v>
      </c>
    </row>
    <row r="56" spans="2:7" s="14" customFormat="1" ht="22.15" customHeight="1">
      <c r="B56" s="23" t="s">
        <v>92</v>
      </c>
      <c r="C56" s="25"/>
      <c r="D56" s="25"/>
      <c r="E56" s="25"/>
      <c r="F56" s="25"/>
      <c r="G56" s="82">
        <v>0</v>
      </c>
    </row>
    <row r="57" spans="2:7" ht="22.15" customHeight="1">
      <c r="B57" s="60" t="s">
        <v>99</v>
      </c>
      <c r="C57" s="61" t="s">
        <v>679</v>
      </c>
      <c r="D57" s="59" t="s">
        <v>13</v>
      </c>
      <c r="E57" s="62" t="s">
        <v>391</v>
      </c>
      <c r="F57" s="62">
        <v>10</v>
      </c>
      <c r="G57" s="82">
        <v>6.91</v>
      </c>
    </row>
    <row r="58" spans="2:7" ht="22.15" customHeight="1">
      <c r="B58" s="60" t="s">
        <v>93</v>
      </c>
      <c r="C58" s="61" t="s">
        <v>94</v>
      </c>
      <c r="D58" s="59" t="s">
        <v>13</v>
      </c>
      <c r="E58" s="62" t="s">
        <v>391</v>
      </c>
      <c r="F58" s="62">
        <v>10</v>
      </c>
      <c r="G58" s="82">
        <v>8.2100000000000009</v>
      </c>
    </row>
    <row r="59" spans="2:7" ht="22.15" customHeight="1">
      <c r="B59" s="60" t="s">
        <v>95</v>
      </c>
      <c r="C59" s="61" t="s">
        <v>96</v>
      </c>
      <c r="D59" s="59" t="s">
        <v>13</v>
      </c>
      <c r="E59" s="62" t="s">
        <v>391</v>
      </c>
      <c r="F59" s="62">
        <v>10</v>
      </c>
      <c r="G59" s="82">
        <v>8.2100000000000009</v>
      </c>
    </row>
    <row r="60" spans="2:7" ht="22.15" customHeight="1">
      <c r="B60" s="60" t="s">
        <v>97</v>
      </c>
      <c r="C60" s="61" t="s">
        <v>98</v>
      </c>
      <c r="D60" s="59" t="s">
        <v>13</v>
      </c>
      <c r="E60" s="62" t="s">
        <v>391</v>
      </c>
      <c r="F60" s="62">
        <v>10</v>
      </c>
      <c r="G60" s="82">
        <v>7.44</v>
      </c>
    </row>
    <row r="61" spans="2:7" ht="22.15" customHeight="1">
      <c r="B61" s="60" t="s">
        <v>100</v>
      </c>
      <c r="C61" s="61" t="s">
        <v>101</v>
      </c>
      <c r="D61" s="59" t="s">
        <v>13</v>
      </c>
      <c r="E61" s="62" t="s">
        <v>391</v>
      </c>
      <c r="F61" s="62">
        <v>10</v>
      </c>
      <c r="G61" s="82">
        <v>5.93</v>
      </c>
    </row>
    <row r="62" spans="2:7" s="14" customFormat="1" ht="22.15" customHeight="1">
      <c r="B62" s="23" t="s">
        <v>102</v>
      </c>
      <c r="C62" s="25"/>
      <c r="D62" s="25"/>
      <c r="E62" s="25"/>
      <c r="F62" s="25"/>
      <c r="G62" s="82">
        <v>0</v>
      </c>
    </row>
    <row r="63" spans="2:7" ht="22.15" customHeight="1">
      <c r="B63" s="60" t="s">
        <v>103</v>
      </c>
      <c r="C63" s="61" t="s">
        <v>104</v>
      </c>
      <c r="D63" s="59" t="s">
        <v>42</v>
      </c>
      <c r="E63" s="62" t="s">
        <v>397</v>
      </c>
      <c r="F63" s="62">
        <v>6</v>
      </c>
      <c r="G63" s="82">
        <v>4.78</v>
      </c>
    </row>
    <row r="64" spans="2:7" ht="22.15" customHeight="1">
      <c r="B64" s="60" t="s">
        <v>105</v>
      </c>
      <c r="C64" s="61" t="s">
        <v>106</v>
      </c>
      <c r="D64" s="59" t="s">
        <v>42</v>
      </c>
      <c r="E64" s="62" t="s">
        <v>397</v>
      </c>
      <c r="F64" s="62">
        <v>6</v>
      </c>
      <c r="G64" s="82">
        <v>4.78</v>
      </c>
    </row>
    <row r="65" spans="2:7" ht="22.15" customHeight="1">
      <c r="B65" s="60" t="s">
        <v>107</v>
      </c>
      <c r="C65" s="61" t="s">
        <v>108</v>
      </c>
      <c r="D65" s="59" t="s">
        <v>42</v>
      </c>
      <c r="E65" s="62" t="s">
        <v>397</v>
      </c>
      <c r="F65" s="62">
        <v>6</v>
      </c>
      <c r="G65" s="82">
        <v>4.78</v>
      </c>
    </row>
    <row r="66" spans="2:7" ht="22.15" customHeight="1">
      <c r="B66" s="60" t="s">
        <v>109</v>
      </c>
      <c r="C66" s="61" t="s">
        <v>110</v>
      </c>
      <c r="D66" s="59" t="s">
        <v>42</v>
      </c>
      <c r="E66" s="62" t="s">
        <v>397</v>
      </c>
      <c r="F66" s="62">
        <v>6</v>
      </c>
      <c r="G66" s="82">
        <v>4.78</v>
      </c>
    </row>
    <row r="67" spans="2:7" ht="22.15" customHeight="1">
      <c r="B67" s="60" t="s">
        <v>111</v>
      </c>
      <c r="C67" s="61" t="s">
        <v>112</v>
      </c>
      <c r="D67" s="59" t="s">
        <v>42</v>
      </c>
      <c r="E67" s="62" t="s">
        <v>397</v>
      </c>
      <c r="F67" s="62">
        <v>6</v>
      </c>
      <c r="G67" s="82">
        <v>4.78</v>
      </c>
    </row>
    <row r="68" spans="2:7" ht="22.15" customHeight="1">
      <c r="B68" s="60" t="s">
        <v>113</v>
      </c>
      <c r="C68" s="61" t="s">
        <v>114</v>
      </c>
      <c r="D68" s="59" t="s">
        <v>42</v>
      </c>
      <c r="E68" s="62" t="s">
        <v>397</v>
      </c>
      <c r="F68" s="62">
        <v>6</v>
      </c>
      <c r="G68" s="82">
        <v>4.78</v>
      </c>
    </row>
    <row r="69" spans="2:7" ht="22.15" customHeight="1">
      <c r="B69" s="60" t="s">
        <v>115</v>
      </c>
      <c r="C69" s="61" t="s">
        <v>116</v>
      </c>
      <c r="D69" s="59" t="s">
        <v>42</v>
      </c>
      <c r="E69" s="62" t="s">
        <v>397</v>
      </c>
      <c r="F69" s="62">
        <v>6</v>
      </c>
      <c r="G69" s="82">
        <v>4.78</v>
      </c>
    </row>
    <row r="70" spans="2:7" ht="22.15" customHeight="1">
      <c r="B70" s="60" t="s">
        <v>117</v>
      </c>
      <c r="C70" s="61" t="s">
        <v>118</v>
      </c>
      <c r="D70" s="59" t="s">
        <v>42</v>
      </c>
      <c r="E70" s="62" t="s">
        <v>397</v>
      </c>
      <c r="F70" s="62">
        <v>6</v>
      </c>
      <c r="G70" s="82">
        <v>4.78</v>
      </c>
    </row>
    <row r="71" spans="2:7" ht="22.15" customHeight="1">
      <c r="B71" s="60" t="s">
        <v>119</v>
      </c>
      <c r="C71" s="61" t="s">
        <v>120</v>
      </c>
      <c r="D71" s="59" t="s">
        <v>42</v>
      </c>
      <c r="E71" s="62" t="s">
        <v>397</v>
      </c>
      <c r="F71" s="62">
        <v>6</v>
      </c>
      <c r="G71" s="82">
        <v>5</v>
      </c>
    </row>
    <row r="72" spans="2:7" ht="22.15" customHeight="1">
      <c r="B72" s="60" t="s">
        <v>121</v>
      </c>
      <c r="C72" s="61" t="s">
        <v>122</v>
      </c>
      <c r="D72" s="59" t="s">
        <v>42</v>
      </c>
      <c r="E72" s="62" t="s">
        <v>397</v>
      </c>
      <c r="F72" s="62">
        <v>6</v>
      </c>
      <c r="G72" s="82">
        <v>4.78</v>
      </c>
    </row>
    <row r="73" spans="2:7" ht="22.15" customHeight="1">
      <c r="B73" s="60" t="s">
        <v>123</v>
      </c>
      <c r="C73" s="61" t="s">
        <v>124</v>
      </c>
      <c r="D73" s="59" t="s">
        <v>42</v>
      </c>
      <c r="E73" s="62" t="s">
        <v>397</v>
      </c>
      <c r="F73" s="62">
        <v>6</v>
      </c>
      <c r="G73" s="82">
        <v>4.78</v>
      </c>
    </row>
    <row r="74" spans="2:7" ht="22.15" customHeight="1">
      <c r="B74" s="60" t="s">
        <v>125</v>
      </c>
      <c r="C74" s="61" t="s">
        <v>126</v>
      </c>
      <c r="D74" s="59" t="s">
        <v>42</v>
      </c>
      <c r="E74" s="62" t="s">
        <v>397</v>
      </c>
      <c r="F74" s="62">
        <v>6</v>
      </c>
      <c r="G74" s="82">
        <v>4.78</v>
      </c>
    </row>
    <row r="75" spans="2:7" ht="22.15" customHeight="1">
      <c r="B75" s="60" t="s">
        <v>127</v>
      </c>
      <c r="C75" s="61" t="s">
        <v>128</v>
      </c>
      <c r="D75" s="59" t="s">
        <v>42</v>
      </c>
      <c r="E75" s="62" t="s">
        <v>397</v>
      </c>
      <c r="F75" s="62">
        <v>6</v>
      </c>
      <c r="G75" s="82">
        <v>4.78</v>
      </c>
    </row>
    <row r="76" spans="2:7" ht="22.15" customHeight="1">
      <c r="B76" s="60" t="s">
        <v>129</v>
      </c>
      <c r="C76" s="61" t="s">
        <v>130</v>
      </c>
      <c r="D76" s="59" t="s">
        <v>42</v>
      </c>
      <c r="E76" s="62" t="s">
        <v>397</v>
      </c>
      <c r="F76" s="62">
        <v>6</v>
      </c>
      <c r="G76" s="82">
        <v>4.78</v>
      </c>
    </row>
    <row r="77" spans="2:7" ht="22.15" customHeight="1">
      <c r="B77" s="60" t="s">
        <v>131</v>
      </c>
      <c r="C77" s="61" t="s">
        <v>132</v>
      </c>
      <c r="D77" s="59" t="s">
        <v>42</v>
      </c>
      <c r="E77" s="62" t="s">
        <v>397</v>
      </c>
      <c r="F77" s="62">
        <v>6</v>
      </c>
      <c r="G77" s="82">
        <v>4.78</v>
      </c>
    </row>
    <row r="78" spans="2:7" ht="22.15" customHeight="1">
      <c r="B78" s="60" t="s">
        <v>133</v>
      </c>
      <c r="C78" s="61" t="s">
        <v>134</v>
      </c>
      <c r="D78" s="59" t="s">
        <v>42</v>
      </c>
      <c r="E78" s="62" t="s">
        <v>397</v>
      </c>
      <c r="F78" s="62">
        <v>6</v>
      </c>
      <c r="G78" s="82">
        <v>4.78</v>
      </c>
    </row>
    <row r="79" spans="2:7" ht="22.15" customHeight="1">
      <c r="B79" s="60" t="s">
        <v>135</v>
      </c>
      <c r="C79" s="61" t="s">
        <v>136</v>
      </c>
      <c r="D79" s="59" t="s">
        <v>42</v>
      </c>
      <c r="E79" s="62" t="s">
        <v>397</v>
      </c>
      <c r="F79" s="62">
        <v>6</v>
      </c>
      <c r="G79" s="82">
        <v>4.78</v>
      </c>
    </row>
    <row r="80" spans="2:7" ht="22.15" customHeight="1">
      <c r="B80" s="60" t="s">
        <v>137</v>
      </c>
      <c r="C80" s="61" t="s">
        <v>138</v>
      </c>
      <c r="D80" s="59" t="s">
        <v>42</v>
      </c>
      <c r="E80" s="62" t="s">
        <v>397</v>
      </c>
      <c r="F80" s="62">
        <v>6</v>
      </c>
      <c r="G80" s="82">
        <v>4.78</v>
      </c>
    </row>
    <row r="81" spans="2:7" ht="22.15" customHeight="1">
      <c r="B81" s="60" t="s">
        <v>139</v>
      </c>
      <c r="C81" s="61" t="s">
        <v>140</v>
      </c>
      <c r="D81" s="59" t="s">
        <v>42</v>
      </c>
      <c r="E81" s="62" t="s">
        <v>397</v>
      </c>
      <c r="F81" s="62">
        <v>6</v>
      </c>
      <c r="G81" s="82">
        <v>4.78</v>
      </c>
    </row>
    <row r="82" spans="2:7" ht="22.15" customHeight="1">
      <c r="B82" s="60" t="s">
        <v>141</v>
      </c>
      <c r="C82" s="61" t="s">
        <v>142</v>
      </c>
      <c r="D82" s="59" t="s">
        <v>42</v>
      </c>
      <c r="E82" s="62" t="s">
        <v>397</v>
      </c>
      <c r="F82" s="62">
        <v>6</v>
      </c>
      <c r="G82" s="82">
        <v>4.78</v>
      </c>
    </row>
    <row r="83" spans="2:7" ht="22.15" customHeight="1">
      <c r="B83" s="60" t="s">
        <v>143</v>
      </c>
      <c r="C83" s="61" t="s">
        <v>144</v>
      </c>
      <c r="D83" s="59" t="s">
        <v>42</v>
      </c>
      <c r="E83" s="62" t="s">
        <v>397</v>
      </c>
      <c r="F83" s="62">
        <v>6</v>
      </c>
      <c r="G83" s="82">
        <v>4.78</v>
      </c>
    </row>
    <row r="84" spans="2:7" ht="22.15" customHeight="1">
      <c r="B84" s="60" t="s">
        <v>145</v>
      </c>
      <c r="C84" s="61" t="s">
        <v>146</v>
      </c>
      <c r="D84" s="59" t="s">
        <v>42</v>
      </c>
      <c r="E84" s="62" t="s">
        <v>397</v>
      </c>
      <c r="F84" s="62">
        <v>6</v>
      </c>
      <c r="G84" s="82">
        <v>4.78</v>
      </c>
    </row>
    <row r="85" spans="2:7" ht="22.15" customHeight="1">
      <c r="B85" s="60" t="s">
        <v>147</v>
      </c>
      <c r="C85" s="61" t="s">
        <v>148</v>
      </c>
      <c r="D85" s="59" t="s">
        <v>42</v>
      </c>
      <c r="E85" s="62" t="s">
        <v>397</v>
      </c>
      <c r="F85" s="62">
        <v>6</v>
      </c>
      <c r="G85" s="82">
        <v>4.78</v>
      </c>
    </row>
    <row r="86" spans="2:7" ht="22.15" customHeight="1">
      <c r="B86" s="60" t="s">
        <v>149</v>
      </c>
      <c r="C86" s="61" t="s">
        <v>150</v>
      </c>
      <c r="D86" s="59" t="s">
        <v>42</v>
      </c>
      <c r="E86" s="62" t="s">
        <v>397</v>
      </c>
      <c r="F86" s="62">
        <v>6</v>
      </c>
      <c r="G86" s="82">
        <v>4.78</v>
      </c>
    </row>
    <row r="87" spans="2:7" ht="22.15" customHeight="1">
      <c r="B87" s="60" t="s">
        <v>151</v>
      </c>
      <c r="C87" s="61" t="s">
        <v>152</v>
      </c>
      <c r="D87" s="59" t="s">
        <v>42</v>
      </c>
      <c r="E87" s="62" t="s">
        <v>397</v>
      </c>
      <c r="F87" s="62">
        <v>6</v>
      </c>
      <c r="G87" s="82">
        <v>4.78</v>
      </c>
    </row>
    <row r="88" spans="2:7" ht="22.15" customHeight="1">
      <c r="B88" s="60" t="s">
        <v>153</v>
      </c>
      <c r="C88" s="61" t="s">
        <v>154</v>
      </c>
      <c r="D88" s="59" t="s">
        <v>42</v>
      </c>
      <c r="E88" s="62" t="s">
        <v>397</v>
      </c>
      <c r="F88" s="62">
        <v>6</v>
      </c>
      <c r="G88" s="82">
        <v>4.78</v>
      </c>
    </row>
    <row r="89" spans="2:7" ht="22.15" customHeight="1">
      <c r="B89" s="1" t="s">
        <v>155</v>
      </c>
      <c r="C89" s="2" t="s">
        <v>156</v>
      </c>
      <c r="D89" s="59" t="s">
        <v>42</v>
      </c>
      <c r="E89" s="3" t="s">
        <v>397</v>
      </c>
      <c r="F89" s="3">
        <v>6</v>
      </c>
      <c r="G89" s="82">
        <v>4.78</v>
      </c>
    </row>
    <row r="90" spans="2:7" ht="22.15" customHeight="1">
      <c r="B90" s="60" t="s">
        <v>157</v>
      </c>
      <c r="C90" s="61" t="s">
        <v>158</v>
      </c>
      <c r="D90" s="59" t="s">
        <v>42</v>
      </c>
      <c r="E90" s="62" t="s">
        <v>397</v>
      </c>
      <c r="F90" s="62">
        <v>6</v>
      </c>
      <c r="G90" s="82">
        <v>4.78</v>
      </c>
    </row>
    <row r="91" spans="2:7" ht="22.15" customHeight="1">
      <c r="B91" s="60" t="s">
        <v>159</v>
      </c>
      <c r="C91" s="61" t="s">
        <v>160</v>
      </c>
      <c r="D91" s="59" t="s">
        <v>42</v>
      </c>
      <c r="E91" s="62" t="s">
        <v>397</v>
      </c>
      <c r="F91" s="62">
        <v>6</v>
      </c>
      <c r="G91" s="82">
        <v>4.78</v>
      </c>
    </row>
    <row r="92" spans="2:7" ht="22.15" customHeight="1">
      <c r="B92" s="1" t="s">
        <v>161</v>
      </c>
      <c r="C92" s="2" t="s">
        <v>162</v>
      </c>
      <c r="D92" s="59" t="s">
        <v>42</v>
      </c>
      <c r="E92" s="3" t="s">
        <v>397</v>
      </c>
      <c r="F92" s="3">
        <v>6</v>
      </c>
      <c r="G92" s="82">
        <v>4.78</v>
      </c>
    </row>
    <row r="93" spans="2:7" ht="22.15" customHeight="1">
      <c r="B93" s="60" t="s">
        <v>163</v>
      </c>
      <c r="C93" s="61" t="s">
        <v>164</v>
      </c>
      <c r="D93" s="59" t="s">
        <v>42</v>
      </c>
      <c r="E93" s="62" t="s">
        <v>397</v>
      </c>
      <c r="F93" s="62">
        <v>6</v>
      </c>
      <c r="G93" s="82">
        <v>4.78</v>
      </c>
    </row>
    <row r="94" spans="2:7" ht="22.15" customHeight="1">
      <c r="B94" s="60" t="s">
        <v>165</v>
      </c>
      <c r="C94" s="61" t="s">
        <v>166</v>
      </c>
      <c r="D94" s="59" t="s">
        <v>42</v>
      </c>
      <c r="E94" s="62" t="s">
        <v>397</v>
      </c>
      <c r="F94" s="62">
        <v>6</v>
      </c>
      <c r="G94" s="82">
        <v>4.78</v>
      </c>
    </row>
    <row r="95" spans="2:7" ht="22.15" customHeight="1">
      <c r="B95" s="60" t="s">
        <v>167</v>
      </c>
      <c r="C95" s="61" t="s">
        <v>168</v>
      </c>
      <c r="D95" s="59" t="s">
        <v>42</v>
      </c>
      <c r="E95" s="62" t="s">
        <v>397</v>
      </c>
      <c r="F95" s="62">
        <v>6</v>
      </c>
      <c r="G95" s="82">
        <v>4.78</v>
      </c>
    </row>
    <row r="96" spans="2:7" ht="22.15" customHeight="1">
      <c r="B96" s="60" t="s">
        <v>169</v>
      </c>
      <c r="C96" s="61" t="s">
        <v>170</v>
      </c>
      <c r="D96" s="59" t="s">
        <v>42</v>
      </c>
      <c r="E96" s="62" t="s">
        <v>397</v>
      </c>
      <c r="F96" s="62">
        <v>6</v>
      </c>
      <c r="G96" s="82">
        <v>4.78</v>
      </c>
    </row>
    <row r="97" spans="2:7" ht="22.15" customHeight="1">
      <c r="B97" s="60" t="s">
        <v>171</v>
      </c>
      <c r="C97" s="61" t="s">
        <v>172</v>
      </c>
      <c r="D97" s="59" t="s">
        <v>42</v>
      </c>
      <c r="E97" s="62" t="s">
        <v>397</v>
      </c>
      <c r="F97" s="62">
        <v>6</v>
      </c>
      <c r="G97" s="82">
        <v>4.78</v>
      </c>
    </row>
    <row r="98" spans="2:7" ht="22.15" customHeight="1">
      <c r="B98" s="60" t="s">
        <v>173</v>
      </c>
      <c r="C98" s="61" t="s">
        <v>174</v>
      </c>
      <c r="D98" s="59" t="s">
        <v>42</v>
      </c>
      <c r="E98" s="62" t="s">
        <v>397</v>
      </c>
      <c r="F98" s="62">
        <v>6</v>
      </c>
      <c r="G98" s="82">
        <v>4.78</v>
      </c>
    </row>
    <row r="99" spans="2:7" ht="22.15" customHeight="1">
      <c r="B99" s="60" t="s">
        <v>175</v>
      </c>
      <c r="C99" s="61" t="s">
        <v>176</v>
      </c>
      <c r="D99" s="59" t="s">
        <v>42</v>
      </c>
      <c r="E99" s="62" t="s">
        <v>397</v>
      </c>
      <c r="F99" s="62">
        <v>6</v>
      </c>
      <c r="G99" s="82">
        <v>4.78</v>
      </c>
    </row>
    <row r="100" spans="2:7" ht="22.15" customHeight="1">
      <c r="B100" s="60" t="s">
        <v>177</v>
      </c>
      <c r="C100" s="61" t="s">
        <v>178</v>
      </c>
      <c r="D100" s="59" t="s">
        <v>42</v>
      </c>
      <c r="E100" s="62" t="s">
        <v>397</v>
      </c>
      <c r="F100" s="62">
        <v>6</v>
      </c>
      <c r="G100" s="82">
        <v>4.78</v>
      </c>
    </row>
    <row r="101" spans="2:7" ht="22.15" customHeight="1">
      <c r="B101" s="60" t="s">
        <v>179</v>
      </c>
      <c r="C101" s="61" t="s">
        <v>180</v>
      </c>
      <c r="D101" s="59" t="s">
        <v>42</v>
      </c>
      <c r="E101" s="62" t="s">
        <v>397</v>
      </c>
      <c r="F101" s="62">
        <v>6</v>
      </c>
      <c r="G101" s="82">
        <v>4.78</v>
      </c>
    </row>
    <row r="102" spans="2:7" ht="22.15" customHeight="1">
      <c r="B102" s="60" t="s">
        <v>181</v>
      </c>
      <c r="C102" s="61" t="s">
        <v>182</v>
      </c>
      <c r="D102" s="59" t="s">
        <v>42</v>
      </c>
      <c r="E102" s="62" t="s">
        <v>397</v>
      </c>
      <c r="F102" s="62">
        <v>6</v>
      </c>
      <c r="G102" s="82">
        <v>4.78</v>
      </c>
    </row>
    <row r="103" spans="2:7" ht="22.15" customHeight="1">
      <c r="B103" s="60" t="s">
        <v>183</v>
      </c>
      <c r="C103" s="61" t="s">
        <v>184</v>
      </c>
      <c r="D103" s="59" t="s">
        <v>42</v>
      </c>
      <c r="E103" s="62" t="s">
        <v>397</v>
      </c>
      <c r="F103" s="62">
        <v>6</v>
      </c>
      <c r="G103" s="82">
        <v>4.78</v>
      </c>
    </row>
    <row r="104" spans="2:7" ht="22.15" customHeight="1">
      <c r="B104" s="60" t="s">
        <v>185</v>
      </c>
      <c r="C104" s="61" t="s">
        <v>186</v>
      </c>
      <c r="D104" s="59" t="s">
        <v>42</v>
      </c>
      <c r="E104" s="62" t="s">
        <v>397</v>
      </c>
      <c r="F104" s="62">
        <v>6</v>
      </c>
      <c r="G104" s="82">
        <v>4.78</v>
      </c>
    </row>
    <row r="105" spans="2:7" ht="22.15" customHeight="1">
      <c r="B105" s="60" t="s">
        <v>187</v>
      </c>
      <c r="C105" s="61" t="s">
        <v>188</v>
      </c>
      <c r="D105" s="59" t="s">
        <v>42</v>
      </c>
      <c r="E105" s="62" t="s">
        <v>397</v>
      </c>
      <c r="F105" s="62">
        <v>6</v>
      </c>
      <c r="G105" s="82">
        <v>4.78</v>
      </c>
    </row>
    <row r="106" spans="2:7" s="14" customFormat="1" ht="22.15" customHeight="1">
      <c r="B106" s="23" t="s">
        <v>189</v>
      </c>
      <c r="C106" s="25"/>
      <c r="D106" s="25"/>
      <c r="E106" s="25"/>
      <c r="F106" s="25"/>
      <c r="G106" s="82">
        <v>0</v>
      </c>
    </row>
    <row r="107" spans="2:7" ht="22.15" customHeight="1">
      <c r="B107" s="60" t="s">
        <v>190</v>
      </c>
      <c r="C107" s="61" t="s">
        <v>191</v>
      </c>
      <c r="D107" s="59" t="s">
        <v>192</v>
      </c>
      <c r="E107" s="62" t="s">
        <v>397</v>
      </c>
      <c r="F107" s="62">
        <v>6</v>
      </c>
      <c r="G107" s="82">
        <v>3.31</v>
      </c>
    </row>
    <row r="108" spans="2:7" ht="22.15" customHeight="1">
      <c r="B108" s="60" t="s">
        <v>193</v>
      </c>
      <c r="C108" s="61" t="s">
        <v>194</v>
      </c>
      <c r="D108" s="59" t="s">
        <v>192</v>
      </c>
      <c r="E108" s="62" t="s">
        <v>397</v>
      </c>
      <c r="F108" s="62">
        <v>6</v>
      </c>
      <c r="G108" s="82">
        <v>3.31</v>
      </c>
    </row>
    <row r="109" spans="2:7" ht="22.15" customHeight="1">
      <c r="B109" s="60" t="s">
        <v>195</v>
      </c>
      <c r="C109" s="61" t="s">
        <v>196</v>
      </c>
      <c r="D109" s="59" t="s">
        <v>192</v>
      </c>
      <c r="E109" s="62" t="s">
        <v>397</v>
      </c>
      <c r="F109" s="62">
        <v>6</v>
      </c>
      <c r="G109" s="82">
        <v>3.31</v>
      </c>
    </row>
    <row r="110" spans="2:7" ht="22.15" customHeight="1">
      <c r="B110" s="60" t="s">
        <v>197</v>
      </c>
      <c r="C110" s="61" t="s">
        <v>198</v>
      </c>
      <c r="D110" s="59" t="s">
        <v>192</v>
      </c>
      <c r="E110" s="62" t="s">
        <v>397</v>
      </c>
      <c r="F110" s="62">
        <v>6</v>
      </c>
      <c r="G110" s="82">
        <v>3.31</v>
      </c>
    </row>
    <row r="111" spans="2:7" ht="22.15" customHeight="1">
      <c r="B111" s="60" t="s">
        <v>199</v>
      </c>
      <c r="C111" s="61" t="s">
        <v>200</v>
      </c>
      <c r="D111" s="59" t="s">
        <v>192</v>
      </c>
      <c r="E111" s="62" t="s">
        <v>397</v>
      </c>
      <c r="F111" s="62">
        <v>6</v>
      </c>
      <c r="G111" s="82">
        <v>3.31</v>
      </c>
    </row>
    <row r="112" spans="2:7" ht="22.15" customHeight="1">
      <c r="B112" s="60" t="s">
        <v>201</v>
      </c>
      <c r="C112" s="61" t="s">
        <v>202</v>
      </c>
      <c r="D112" s="59" t="s">
        <v>192</v>
      </c>
      <c r="E112" s="62" t="s">
        <v>397</v>
      </c>
      <c r="F112" s="62">
        <v>6</v>
      </c>
      <c r="G112" s="82">
        <v>3.31</v>
      </c>
    </row>
    <row r="113" spans="2:7" ht="22.15" customHeight="1">
      <c r="B113" s="60" t="s">
        <v>203</v>
      </c>
      <c r="C113" s="61" t="s">
        <v>204</v>
      </c>
      <c r="D113" s="59" t="s">
        <v>192</v>
      </c>
      <c r="E113" s="62" t="s">
        <v>397</v>
      </c>
      <c r="F113" s="62">
        <v>6</v>
      </c>
      <c r="G113" s="82">
        <v>3.31</v>
      </c>
    </row>
    <row r="114" spans="2:7" ht="22.15" customHeight="1">
      <c r="B114" s="60" t="s">
        <v>205</v>
      </c>
      <c r="C114" s="61" t="s">
        <v>206</v>
      </c>
      <c r="D114" s="59" t="s">
        <v>192</v>
      </c>
      <c r="E114" s="62" t="s">
        <v>397</v>
      </c>
      <c r="F114" s="62">
        <v>6</v>
      </c>
      <c r="G114" s="82">
        <v>3.31</v>
      </c>
    </row>
    <row r="115" spans="2:7" ht="22.15" customHeight="1">
      <c r="B115" s="60" t="s">
        <v>207</v>
      </c>
      <c r="C115" s="61" t="s">
        <v>208</v>
      </c>
      <c r="D115" s="59" t="s">
        <v>192</v>
      </c>
      <c r="E115" s="62" t="s">
        <v>397</v>
      </c>
      <c r="F115" s="62">
        <v>6</v>
      </c>
      <c r="G115" s="82">
        <v>3.59</v>
      </c>
    </row>
    <row r="116" spans="2:7" ht="22.15" customHeight="1">
      <c r="B116" s="60" t="s">
        <v>209</v>
      </c>
      <c r="C116" s="61" t="s">
        <v>210</v>
      </c>
      <c r="D116" s="59" t="s">
        <v>192</v>
      </c>
      <c r="E116" s="62" t="s">
        <v>397</v>
      </c>
      <c r="F116" s="62">
        <v>6</v>
      </c>
      <c r="G116" s="82">
        <v>3.31</v>
      </c>
    </row>
    <row r="117" spans="2:7" ht="22.15" customHeight="1">
      <c r="B117" s="60" t="s">
        <v>211</v>
      </c>
      <c r="C117" s="61" t="s">
        <v>212</v>
      </c>
      <c r="D117" s="59" t="s">
        <v>192</v>
      </c>
      <c r="E117" s="62" t="s">
        <v>397</v>
      </c>
      <c r="F117" s="62">
        <v>6</v>
      </c>
      <c r="G117" s="82">
        <v>3.31</v>
      </c>
    </row>
    <row r="118" spans="2:7" ht="22.15" customHeight="1">
      <c r="B118" s="60" t="s">
        <v>213</v>
      </c>
      <c r="C118" s="61" t="s">
        <v>214</v>
      </c>
      <c r="D118" s="59" t="s">
        <v>192</v>
      </c>
      <c r="E118" s="62" t="s">
        <v>397</v>
      </c>
      <c r="F118" s="62">
        <v>6</v>
      </c>
      <c r="G118" s="82">
        <v>3.31</v>
      </c>
    </row>
    <row r="119" spans="2:7" ht="22.15" customHeight="1">
      <c r="B119" s="60" t="s">
        <v>215</v>
      </c>
      <c r="C119" s="61" t="s">
        <v>216</v>
      </c>
      <c r="D119" s="59" t="s">
        <v>192</v>
      </c>
      <c r="E119" s="62" t="s">
        <v>397</v>
      </c>
      <c r="F119" s="62">
        <v>6</v>
      </c>
      <c r="G119" s="82">
        <v>3.31</v>
      </c>
    </row>
    <row r="120" spans="2:7" ht="22.15" customHeight="1">
      <c r="B120" s="60" t="s">
        <v>217</v>
      </c>
      <c r="C120" s="61" t="s">
        <v>218</v>
      </c>
      <c r="D120" s="59" t="s">
        <v>192</v>
      </c>
      <c r="E120" s="62" t="s">
        <v>397</v>
      </c>
      <c r="F120" s="62">
        <v>6</v>
      </c>
      <c r="G120" s="82">
        <v>3.31</v>
      </c>
    </row>
    <row r="121" spans="2:7" ht="22.15" customHeight="1">
      <c r="B121" s="60" t="s">
        <v>219</v>
      </c>
      <c r="C121" s="61" t="s">
        <v>220</v>
      </c>
      <c r="D121" s="59" t="s">
        <v>192</v>
      </c>
      <c r="E121" s="62" t="s">
        <v>397</v>
      </c>
      <c r="F121" s="62">
        <v>6</v>
      </c>
      <c r="G121" s="82">
        <v>3.31</v>
      </c>
    </row>
    <row r="122" spans="2:7" ht="22.15" customHeight="1">
      <c r="B122" s="60" t="s">
        <v>654</v>
      </c>
      <c r="C122" s="61" t="s">
        <v>670</v>
      </c>
      <c r="D122" s="59" t="s">
        <v>192</v>
      </c>
      <c r="E122" s="62" t="s">
        <v>397</v>
      </c>
      <c r="F122" s="62">
        <v>6</v>
      </c>
      <c r="G122" s="82">
        <v>3.31</v>
      </c>
    </row>
    <row r="123" spans="2:7" ht="22.15" customHeight="1">
      <c r="B123" s="60" t="s">
        <v>221</v>
      </c>
      <c r="C123" s="61" t="s">
        <v>222</v>
      </c>
      <c r="D123" s="59" t="s">
        <v>192</v>
      </c>
      <c r="E123" s="62" t="s">
        <v>397</v>
      </c>
      <c r="F123" s="62">
        <v>6</v>
      </c>
      <c r="G123" s="82">
        <v>3.31</v>
      </c>
    </row>
    <row r="124" spans="2:7" ht="22.15" customHeight="1">
      <c r="B124" s="60" t="s">
        <v>223</v>
      </c>
      <c r="C124" s="61" t="s">
        <v>224</v>
      </c>
      <c r="D124" s="59" t="s">
        <v>192</v>
      </c>
      <c r="E124" s="62" t="s">
        <v>397</v>
      </c>
      <c r="F124" s="62">
        <v>6</v>
      </c>
      <c r="G124" s="82">
        <v>3.31</v>
      </c>
    </row>
    <row r="125" spans="2:7" ht="22.15" customHeight="1">
      <c r="B125" s="60" t="s">
        <v>225</v>
      </c>
      <c r="C125" s="61" t="s">
        <v>226</v>
      </c>
      <c r="D125" s="59" t="s">
        <v>192</v>
      </c>
      <c r="E125" s="62" t="s">
        <v>397</v>
      </c>
      <c r="F125" s="62">
        <v>6</v>
      </c>
      <c r="G125" s="82">
        <v>3.31</v>
      </c>
    </row>
    <row r="126" spans="2:7" ht="22.15" customHeight="1">
      <c r="B126" s="60" t="s">
        <v>227</v>
      </c>
      <c r="C126" s="61" t="s">
        <v>228</v>
      </c>
      <c r="D126" s="59" t="s">
        <v>192</v>
      </c>
      <c r="E126" s="62" t="s">
        <v>397</v>
      </c>
      <c r="F126" s="62">
        <v>6</v>
      </c>
      <c r="G126" s="82">
        <v>3.31</v>
      </c>
    </row>
    <row r="127" spans="2:7" ht="22.15" customHeight="1">
      <c r="B127" s="60" t="s">
        <v>229</v>
      </c>
      <c r="C127" s="61" t="s">
        <v>230</v>
      </c>
      <c r="D127" s="59" t="s">
        <v>192</v>
      </c>
      <c r="E127" s="62" t="s">
        <v>397</v>
      </c>
      <c r="F127" s="62">
        <v>6</v>
      </c>
      <c r="G127" s="82">
        <v>3.31</v>
      </c>
    </row>
    <row r="128" spans="2:7" ht="22.15" customHeight="1">
      <c r="B128" s="60" t="s">
        <v>231</v>
      </c>
      <c r="C128" s="61" t="s">
        <v>232</v>
      </c>
      <c r="D128" s="59" t="s">
        <v>192</v>
      </c>
      <c r="E128" s="62" t="s">
        <v>397</v>
      </c>
      <c r="F128" s="62">
        <v>6</v>
      </c>
      <c r="G128" s="82">
        <v>3.31</v>
      </c>
    </row>
    <row r="129" spans="2:7" ht="22.15" customHeight="1">
      <c r="B129" s="60" t="s">
        <v>233</v>
      </c>
      <c r="C129" s="61" t="s">
        <v>234</v>
      </c>
      <c r="D129" s="59" t="s">
        <v>192</v>
      </c>
      <c r="E129" s="62" t="s">
        <v>397</v>
      </c>
      <c r="F129" s="62">
        <v>6</v>
      </c>
      <c r="G129" s="82">
        <v>3.31</v>
      </c>
    </row>
    <row r="130" spans="2:7" ht="22.15" customHeight="1">
      <c r="B130" s="60" t="s">
        <v>235</v>
      </c>
      <c r="C130" s="61" t="s">
        <v>236</v>
      </c>
      <c r="D130" s="59" t="s">
        <v>192</v>
      </c>
      <c r="E130" s="62" t="s">
        <v>397</v>
      </c>
      <c r="F130" s="62">
        <v>6</v>
      </c>
      <c r="G130" s="82">
        <v>3.31</v>
      </c>
    </row>
    <row r="131" spans="2:7" ht="22.15" customHeight="1">
      <c r="B131" s="60" t="s">
        <v>237</v>
      </c>
      <c r="C131" s="61" t="s">
        <v>238</v>
      </c>
      <c r="D131" s="59" t="s">
        <v>192</v>
      </c>
      <c r="E131" s="62" t="s">
        <v>397</v>
      </c>
      <c r="F131" s="62">
        <v>6</v>
      </c>
      <c r="G131" s="82">
        <v>3.31</v>
      </c>
    </row>
    <row r="132" spans="2:7" ht="22.15" customHeight="1">
      <c r="B132" s="60" t="s">
        <v>239</v>
      </c>
      <c r="C132" s="61" t="s">
        <v>240</v>
      </c>
      <c r="D132" s="59" t="s">
        <v>192</v>
      </c>
      <c r="E132" s="62" t="s">
        <v>397</v>
      </c>
      <c r="F132" s="62">
        <v>6</v>
      </c>
      <c r="G132" s="82">
        <v>3.31</v>
      </c>
    </row>
    <row r="133" spans="2:7" ht="22.15" customHeight="1">
      <c r="B133" s="60" t="s">
        <v>241</v>
      </c>
      <c r="C133" s="61" t="s">
        <v>242</v>
      </c>
      <c r="D133" s="59" t="s">
        <v>192</v>
      </c>
      <c r="E133" s="62" t="s">
        <v>397</v>
      </c>
      <c r="F133" s="62">
        <v>6</v>
      </c>
      <c r="G133" s="82">
        <v>3.31</v>
      </c>
    </row>
    <row r="134" spans="2:7" ht="22.15" customHeight="1">
      <c r="B134" s="60" t="s">
        <v>243</v>
      </c>
      <c r="C134" s="61" t="s">
        <v>244</v>
      </c>
      <c r="D134" s="59" t="s">
        <v>192</v>
      </c>
      <c r="E134" s="62" t="s">
        <v>397</v>
      </c>
      <c r="F134" s="62">
        <v>6</v>
      </c>
      <c r="G134" s="82">
        <v>3.31</v>
      </c>
    </row>
    <row r="135" spans="2:7" ht="22.15" customHeight="1">
      <c r="B135" s="1" t="s">
        <v>245</v>
      </c>
      <c r="C135" s="2" t="s">
        <v>246</v>
      </c>
      <c r="D135" s="59" t="s">
        <v>192</v>
      </c>
      <c r="E135" s="3" t="s">
        <v>397</v>
      </c>
      <c r="F135" s="3">
        <v>6</v>
      </c>
      <c r="G135" s="82">
        <v>3.31</v>
      </c>
    </row>
    <row r="136" spans="2:7" ht="22.15" customHeight="1">
      <c r="B136" s="60" t="s">
        <v>247</v>
      </c>
      <c r="C136" s="61" t="s">
        <v>248</v>
      </c>
      <c r="D136" s="59" t="s">
        <v>192</v>
      </c>
      <c r="E136" s="62" t="s">
        <v>397</v>
      </c>
      <c r="F136" s="62">
        <v>6</v>
      </c>
      <c r="G136" s="82">
        <v>3.31</v>
      </c>
    </row>
    <row r="137" spans="2:7" ht="22.15" customHeight="1">
      <c r="B137" s="60" t="s">
        <v>249</v>
      </c>
      <c r="C137" s="61" t="s">
        <v>250</v>
      </c>
      <c r="D137" s="59" t="s">
        <v>192</v>
      </c>
      <c r="E137" s="62" t="s">
        <v>397</v>
      </c>
      <c r="F137" s="62">
        <v>6</v>
      </c>
      <c r="G137" s="82">
        <v>3.31</v>
      </c>
    </row>
    <row r="138" spans="2:7" ht="22.15" customHeight="1">
      <c r="B138" s="1" t="s">
        <v>251</v>
      </c>
      <c r="C138" s="2" t="s">
        <v>252</v>
      </c>
      <c r="D138" s="59" t="s">
        <v>192</v>
      </c>
      <c r="E138" s="3" t="s">
        <v>397</v>
      </c>
      <c r="F138" s="3">
        <v>6</v>
      </c>
      <c r="G138" s="82">
        <v>3.31</v>
      </c>
    </row>
    <row r="139" spans="2:7" ht="22.15" customHeight="1">
      <c r="B139" s="60" t="s">
        <v>253</v>
      </c>
      <c r="C139" s="61" t="s">
        <v>254</v>
      </c>
      <c r="D139" s="59" t="s">
        <v>192</v>
      </c>
      <c r="E139" s="62" t="s">
        <v>397</v>
      </c>
      <c r="F139" s="62">
        <v>6</v>
      </c>
      <c r="G139" s="82">
        <v>3.31</v>
      </c>
    </row>
    <row r="140" spans="2:7" ht="22.15" customHeight="1">
      <c r="B140" s="60" t="s">
        <v>255</v>
      </c>
      <c r="C140" s="61" t="s">
        <v>256</v>
      </c>
      <c r="D140" s="59" t="s">
        <v>192</v>
      </c>
      <c r="E140" s="62" t="s">
        <v>397</v>
      </c>
      <c r="F140" s="62">
        <v>6</v>
      </c>
      <c r="G140" s="82">
        <v>3.31</v>
      </c>
    </row>
    <row r="141" spans="2:7" ht="22.15" customHeight="1">
      <c r="B141" s="60" t="s">
        <v>257</v>
      </c>
      <c r="C141" s="61" t="s">
        <v>258</v>
      </c>
      <c r="D141" s="59" t="s">
        <v>192</v>
      </c>
      <c r="E141" s="62" t="s">
        <v>397</v>
      </c>
      <c r="F141" s="62">
        <v>6</v>
      </c>
      <c r="G141" s="82">
        <v>3.31</v>
      </c>
    </row>
    <row r="142" spans="2:7" ht="22.15" customHeight="1">
      <c r="B142" s="60" t="s">
        <v>259</v>
      </c>
      <c r="C142" s="61" t="s">
        <v>260</v>
      </c>
      <c r="D142" s="59" t="s">
        <v>192</v>
      </c>
      <c r="E142" s="62" t="s">
        <v>397</v>
      </c>
      <c r="F142" s="62">
        <v>6</v>
      </c>
      <c r="G142" s="82">
        <v>3.31</v>
      </c>
    </row>
    <row r="143" spans="2:7" ht="22.15" customHeight="1">
      <c r="B143" s="60" t="s">
        <v>261</v>
      </c>
      <c r="C143" s="61" t="s">
        <v>262</v>
      </c>
      <c r="D143" s="59" t="s">
        <v>192</v>
      </c>
      <c r="E143" s="62" t="s">
        <v>397</v>
      </c>
      <c r="F143" s="62">
        <v>6</v>
      </c>
      <c r="G143" s="82">
        <v>3.31</v>
      </c>
    </row>
    <row r="144" spans="2:7" ht="22.15" customHeight="1">
      <c r="B144" s="60" t="s">
        <v>263</v>
      </c>
      <c r="C144" s="61" t="s">
        <v>264</v>
      </c>
      <c r="D144" s="59" t="s">
        <v>192</v>
      </c>
      <c r="E144" s="62" t="s">
        <v>397</v>
      </c>
      <c r="F144" s="62">
        <v>6</v>
      </c>
      <c r="G144" s="82">
        <v>3.43</v>
      </c>
    </row>
    <row r="145" spans="2:7" ht="22.15" customHeight="1">
      <c r="B145" s="60" t="s">
        <v>265</v>
      </c>
      <c r="C145" s="61" t="s">
        <v>266</v>
      </c>
      <c r="D145" s="59" t="s">
        <v>192</v>
      </c>
      <c r="E145" s="62" t="s">
        <v>397</v>
      </c>
      <c r="F145" s="62">
        <v>6</v>
      </c>
      <c r="G145" s="82">
        <v>3.31</v>
      </c>
    </row>
    <row r="146" spans="2:7" ht="22.15" customHeight="1">
      <c r="B146" s="60" t="s">
        <v>267</v>
      </c>
      <c r="C146" s="61" t="s">
        <v>268</v>
      </c>
      <c r="D146" s="59" t="s">
        <v>192</v>
      </c>
      <c r="E146" s="62" t="s">
        <v>397</v>
      </c>
      <c r="F146" s="62">
        <v>6</v>
      </c>
      <c r="G146" s="82">
        <v>3.31</v>
      </c>
    </row>
    <row r="147" spans="2:7" ht="22.15" customHeight="1">
      <c r="B147" s="60" t="s">
        <v>269</v>
      </c>
      <c r="C147" s="61" t="s">
        <v>270</v>
      </c>
      <c r="D147" s="59" t="s">
        <v>192</v>
      </c>
      <c r="E147" s="62" t="s">
        <v>397</v>
      </c>
      <c r="F147" s="62">
        <v>6</v>
      </c>
      <c r="G147" s="82">
        <v>3.31</v>
      </c>
    </row>
    <row r="148" spans="2:7" ht="22.15" customHeight="1">
      <c r="B148" s="60" t="s">
        <v>271</v>
      </c>
      <c r="C148" s="61" t="s">
        <v>272</v>
      </c>
      <c r="D148" s="59" t="s">
        <v>192</v>
      </c>
      <c r="E148" s="62" t="s">
        <v>397</v>
      </c>
      <c r="F148" s="62">
        <v>6</v>
      </c>
      <c r="G148" s="82">
        <v>3.31</v>
      </c>
    </row>
    <row r="149" spans="2:7" ht="22.15" customHeight="1">
      <c r="B149" s="60" t="s">
        <v>273</v>
      </c>
      <c r="C149" s="61" t="s">
        <v>274</v>
      </c>
      <c r="D149" s="59" t="s">
        <v>192</v>
      </c>
      <c r="E149" s="62" t="s">
        <v>397</v>
      </c>
      <c r="F149" s="62">
        <v>6</v>
      </c>
      <c r="G149" s="82">
        <v>3.31</v>
      </c>
    </row>
    <row r="150" spans="2:7" ht="22.15" customHeight="1">
      <c r="B150" s="60" t="s">
        <v>275</v>
      </c>
      <c r="C150" s="61" t="s">
        <v>276</v>
      </c>
      <c r="D150" s="59" t="s">
        <v>192</v>
      </c>
      <c r="E150" s="62" t="s">
        <v>397</v>
      </c>
      <c r="F150" s="62">
        <v>6</v>
      </c>
      <c r="G150" s="82">
        <v>3.31</v>
      </c>
    </row>
    <row r="151" spans="2:7" ht="22.15" customHeight="1">
      <c r="B151" s="60" t="s">
        <v>277</v>
      </c>
      <c r="C151" s="61" t="s">
        <v>278</v>
      </c>
      <c r="D151" s="59" t="s">
        <v>192</v>
      </c>
      <c r="E151" s="62" t="s">
        <v>397</v>
      </c>
      <c r="F151" s="62">
        <v>6</v>
      </c>
      <c r="G151" s="82">
        <v>3.31</v>
      </c>
    </row>
    <row r="152" spans="2:7" ht="22.15" customHeight="1">
      <c r="B152" s="60" t="s">
        <v>279</v>
      </c>
      <c r="C152" s="61" t="s">
        <v>280</v>
      </c>
      <c r="D152" s="59" t="s">
        <v>192</v>
      </c>
      <c r="E152" s="62" t="s">
        <v>397</v>
      </c>
      <c r="F152" s="62">
        <v>6</v>
      </c>
      <c r="G152" s="82">
        <v>3.31</v>
      </c>
    </row>
    <row r="153" spans="2:7" ht="22.15" customHeight="1">
      <c r="B153" s="1" t="s">
        <v>281</v>
      </c>
      <c r="C153" s="2" t="s">
        <v>282</v>
      </c>
      <c r="D153" s="59" t="s">
        <v>192</v>
      </c>
      <c r="E153" s="3" t="s">
        <v>397</v>
      </c>
      <c r="F153" s="3">
        <v>6</v>
      </c>
      <c r="G153" s="82">
        <v>3.31</v>
      </c>
    </row>
    <row r="154" spans="2:7" ht="22.15" customHeight="1">
      <c r="B154" s="60" t="s">
        <v>283</v>
      </c>
      <c r="C154" s="61" t="s">
        <v>284</v>
      </c>
      <c r="D154" s="59" t="s">
        <v>192</v>
      </c>
      <c r="E154" s="62" t="s">
        <v>397</v>
      </c>
      <c r="F154" s="62">
        <v>6</v>
      </c>
      <c r="G154" s="82">
        <v>3.31</v>
      </c>
    </row>
    <row r="155" spans="2:7" s="14" customFormat="1" ht="22.15" customHeight="1">
      <c r="B155" s="23" t="s">
        <v>285</v>
      </c>
      <c r="C155" s="25"/>
      <c r="D155" s="25"/>
      <c r="E155" s="25"/>
      <c r="F155" s="25"/>
      <c r="G155" s="82">
        <v>0</v>
      </c>
    </row>
    <row r="156" spans="2:7" ht="22.15" customHeight="1">
      <c r="B156" s="60" t="s">
        <v>286</v>
      </c>
      <c r="C156" s="61" t="s">
        <v>287</v>
      </c>
      <c r="D156" s="59" t="s">
        <v>42</v>
      </c>
      <c r="E156" s="62" t="s">
        <v>397</v>
      </c>
      <c r="F156" s="62">
        <v>6</v>
      </c>
      <c r="G156" s="82">
        <v>6.94</v>
      </c>
    </row>
    <row r="157" spans="2:7" ht="22.15" customHeight="1">
      <c r="B157" s="60" t="s">
        <v>288</v>
      </c>
      <c r="C157" s="61" t="s">
        <v>289</v>
      </c>
      <c r="D157" s="59" t="s">
        <v>42</v>
      </c>
      <c r="E157" s="62" t="s">
        <v>397</v>
      </c>
      <c r="F157" s="62">
        <v>6</v>
      </c>
      <c r="G157" s="82">
        <v>6.94</v>
      </c>
    </row>
    <row r="158" spans="2:7" ht="22.15" customHeight="1">
      <c r="B158" s="1" t="s">
        <v>290</v>
      </c>
      <c r="C158" s="2" t="s">
        <v>291</v>
      </c>
      <c r="D158" s="59" t="s">
        <v>42</v>
      </c>
      <c r="E158" s="3" t="s">
        <v>397</v>
      </c>
      <c r="F158" s="3">
        <v>6</v>
      </c>
      <c r="G158" s="82">
        <v>6.94</v>
      </c>
    </row>
    <row r="159" spans="2:7" ht="22.15" customHeight="1">
      <c r="B159" s="60" t="s">
        <v>292</v>
      </c>
      <c r="C159" s="61" t="s">
        <v>293</v>
      </c>
      <c r="D159" s="59" t="s">
        <v>42</v>
      </c>
      <c r="E159" s="62" t="s">
        <v>397</v>
      </c>
      <c r="F159" s="62">
        <v>6</v>
      </c>
      <c r="G159" s="82">
        <v>6.94</v>
      </c>
    </row>
    <row r="160" spans="2:7" ht="22.15" customHeight="1">
      <c r="B160" s="60" t="s">
        <v>294</v>
      </c>
      <c r="C160" s="61" t="s">
        <v>295</v>
      </c>
      <c r="D160" s="59" t="s">
        <v>42</v>
      </c>
      <c r="E160" s="62" t="s">
        <v>397</v>
      </c>
      <c r="F160" s="62">
        <v>6</v>
      </c>
      <c r="G160" s="82">
        <v>6.94</v>
      </c>
    </row>
    <row r="161" spans="2:7" ht="22.15" customHeight="1">
      <c r="B161" s="1" t="s">
        <v>296</v>
      </c>
      <c r="C161" s="2" t="s">
        <v>297</v>
      </c>
      <c r="D161" s="59" t="s">
        <v>42</v>
      </c>
      <c r="E161" s="3" t="s">
        <v>397</v>
      </c>
      <c r="F161" s="3">
        <v>6</v>
      </c>
      <c r="G161" s="82">
        <v>6.94</v>
      </c>
    </row>
    <row r="162" spans="2:7" s="14" customFormat="1" ht="22.15" customHeight="1">
      <c r="B162" s="23" t="s">
        <v>298</v>
      </c>
      <c r="C162" s="25"/>
      <c r="D162" s="25"/>
      <c r="E162" s="25"/>
      <c r="F162" s="25"/>
      <c r="G162" s="82">
        <v>0</v>
      </c>
    </row>
    <row r="163" spans="2:7" ht="22.15" customHeight="1">
      <c r="B163" s="60" t="s">
        <v>299</v>
      </c>
      <c r="C163" s="61" t="s">
        <v>300</v>
      </c>
      <c r="D163" s="59" t="s">
        <v>301</v>
      </c>
      <c r="E163" s="62" t="s">
        <v>390</v>
      </c>
      <c r="F163" s="62">
        <v>6</v>
      </c>
      <c r="G163" s="82">
        <v>3.87</v>
      </c>
    </row>
    <row r="164" spans="2:7" ht="22.15" customHeight="1">
      <c r="B164" s="1" t="s">
        <v>303</v>
      </c>
      <c r="C164" s="2" t="s">
        <v>304</v>
      </c>
      <c r="D164" s="59" t="s">
        <v>301</v>
      </c>
      <c r="E164" s="3" t="s">
        <v>390</v>
      </c>
      <c r="F164" s="3">
        <v>6</v>
      </c>
      <c r="G164" s="82">
        <v>3.1</v>
      </c>
    </row>
    <row r="165" spans="2:7" ht="22.15" customHeight="1">
      <c r="B165" s="60" t="s">
        <v>305</v>
      </c>
      <c r="C165" s="61" t="s">
        <v>306</v>
      </c>
      <c r="D165" s="59" t="s">
        <v>301</v>
      </c>
      <c r="E165" s="62" t="s">
        <v>390</v>
      </c>
      <c r="F165" s="62">
        <v>6</v>
      </c>
      <c r="G165" s="82">
        <v>3.88</v>
      </c>
    </row>
    <row r="166" spans="2:7" s="14" customFormat="1" ht="22.15" customHeight="1">
      <c r="B166" s="23" t="s">
        <v>307</v>
      </c>
      <c r="C166" s="25"/>
      <c r="D166" s="25"/>
      <c r="E166" s="25"/>
      <c r="F166" s="25"/>
      <c r="G166" s="82">
        <v>0</v>
      </c>
    </row>
    <row r="167" spans="2:7" ht="22.15" customHeight="1">
      <c r="B167" s="60" t="s">
        <v>308</v>
      </c>
      <c r="C167" s="61" t="s">
        <v>302</v>
      </c>
      <c r="D167" s="59" t="s">
        <v>301</v>
      </c>
      <c r="E167" s="62" t="s">
        <v>392</v>
      </c>
      <c r="F167" s="62">
        <v>6</v>
      </c>
      <c r="G167" s="82">
        <v>4.47</v>
      </c>
    </row>
    <row r="168" spans="2:7" ht="22.15" customHeight="1">
      <c r="B168" s="60" t="s">
        <v>309</v>
      </c>
      <c r="C168" s="61" t="s">
        <v>300</v>
      </c>
      <c r="D168" s="59" t="s">
        <v>301</v>
      </c>
      <c r="E168" s="62" t="s">
        <v>392</v>
      </c>
      <c r="F168" s="62">
        <v>6</v>
      </c>
      <c r="G168" s="82">
        <v>3.03</v>
      </c>
    </row>
    <row r="169" spans="2:7" ht="22.15" customHeight="1">
      <c r="B169" s="60" t="s">
        <v>310</v>
      </c>
      <c r="C169" s="61" t="s">
        <v>306</v>
      </c>
      <c r="D169" s="59" t="s">
        <v>301</v>
      </c>
      <c r="E169" s="62" t="s">
        <v>392</v>
      </c>
      <c r="F169" s="62">
        <v>6</v>
      </c>
      <c r="G169" s="82">
        <v>2.41</v>
      </c>
    </row>
    <row r="170" spans="2:7" ht="22.15" customHeight="1">
      <c r="B170" s="60" t="s">
        <v>311</v>
      </c>
      <c r="C170" s="61" t="s">
        <v>312</v>
      </c>
      <c r="D170" s="59" t="s">
        <v>301</v>
      </c>
      <c r="E170" s="62" t="s">
        <v>392</v>
      </c>
      <c r="F170" s="62">
        <v>6</v>
      </c>
      <c r="G170" s="82">
        <v>2.41</v>
      </c>
    </row>
    <row r="171" spans="2:7" ht="22.15" customHeight="1">
      <c r="B171" s="60" t="s">
        <v>313</v>
      </c>
      <c r="C171" s="61" t="s">
        <v>304</v>
      </c>
      <c r="D171" s="59" t="s">
        <v>301</v>
      </c>
      <c r="E171" s="62" t="s">
        <v>392</v>
      </c>
      <c r="F171" s="62">
        <v>6</v>
      </c>
      <c r="G171" s="82">
        <v>2.5099999999999998</v>
      </c>
    </row>
    <row r="172" spans="2:7" ht="22.15" customHeight="1">
      <c r="B172" s="60" t="s">
        <v>314</v>
      </c>
      <c r="C172" s="61" t="s">
        <v>315</v>
      </c>
      <c r="D172" s="59" t="s">
        <v>301</v>
      </c>
      <c r="E172" s="62" t="s">
        <v>392</v>
      </c>
      <c r="F172" s="62">
        <v>6</v>
      </c>
      <c r="G172" s="82">
        <v>2.41</v>
      </c>
    </row>
    <row r="173" spans="2:7" ht="22.15" customHeight="1">
      <c r="B173" s="1" t="s">
        <v>316</v>
      </c>
      <c r="C173" s="2" t="s">
        <v>317</v>
      </c>
      <c r="D173" s="59" t="s">
        <v>301</v>
      </c>
      <c r="E173" s="3" t="s">
        <v>392</v>
      </c>
      <c r="F173" s="3">
        <v>6</v>
      </c>
      <c r="G173" s="82">
        <v>2.5099999999999998</v>
      </c>
    </row>
    <row r="174" spans="2:7" s="14" customFormat="1" ht="22.15" customHeight="1">
      <c r="B174" s="23" t="s">
        <v>318</v>
      </c>
      <c r="C174" s="25"/>
      <c r="D174" s="25"/>
      <c r="E174" s="25"/>
      <c r="F174" s="25"/>
      <c r="G174" s="82">
        <v>0</v>
      </c>
    </row>
    <row r="175" spans="2:7" ht="22.15" customHeight="1">
      <c r="B175" s="1" t="s">
        <v>319</v>
      </c>
      <c r="C175" s="2" t="s">
        <v>320</v>
      </c>
      <c r="D175" s="59" t="s">
        <v>301</v>
      </c>
      <c r="E175" s="3" t="s">
        <v>390</v>
      </c>
      <c r="F175" s="3">
        <v>6</v>
      </c>
      <c r="G175" s="82">
        <v>5.75</v>
      </c>
    </row>
    <row r="176" spans="2:7" ht="22.15" customHeight="1">
      <c r="B176" s="60" t="s">
        <v>321</v>
      </c>
      <c r="C176" s="61" t="s">
        <v>322</v>
      </c>
      <c r="D176" s="59" t="s">
        <v>301</v>
      </c>
      <c r="E176" s="3" t="s">
        <v>390</v>
      </c>
      <c r="F176" s="62">
        <v>6</v>
      </c>
      <c r="G176" s="82">
        <v>5.75</v>
      </c>
    </row>
    <row r="177" spans="2:7" ht="22.15" customHeight="1">
      <c r="B177" s="1" t="s">
        <v>323</v>
      </c>
      <c r="C177" s="2" t="s">
        <v>324</v>
      </c>
      <c r="D177" s="59" t="s">
        <v>301</v>
      </c>
      <c r="E177" s="3" t="s">
        <v>390</v>
      </c>
      <c r="F177" s="3">
        <v>6</v>
      </c>
      <c r="G177" s="82">
        <v>5.75</v>
      </c>
    </row>
    <row r="178" spans="2:7" ht="22.15" customHeight="1">
      <c r="B178" s="60" t="s">
        <v>325</v>
      </c>
      <c r="C178" s="61" t="s">
        <v>326</v>
      </c>
      <c r="D178" s="59" t="s">
        <v>301</v>
      </c>
      <c r="E178" s="3" t="s">
        <v>390</v>
      </c>
      <c r="F178" s="62">
        <v>6</v>
      </c>
      <c r="G178" s="82">
        <v>5.75</v>
      </c>
    </row>
    <row r="179" spans="2:7" ht="22.15" customHeight="1">
      <c r="B179" s="60" t="s">
        <v>327</v>
      </c>
      <c r="C179" s="61" t="s">
        <v>328</v>
      </c>
      <c r="D179" s="59" t="s">
        <v>301</v>
      </c>
      <c r="E179" s="3" t="s">
        <v>390</v>
      </c>
      <c r="F179" s="62">
        <v>6</v>
      </c>
      <c r="G179" s="82">
        <v>5.75</v>
      </c>
    </row>
    <row r="180" spans="2:7" ht="22.15" customHeight="1">
      <c r="B180" s="60" t="s">
        <v>329</v>
      </c>
      <c r="C180" s="61" t="s">
        <v>330</v>
      </c>
      <c r="D180" s="59" t="s">
        <v>301</v>
      </c>
      <c r="E180" s="3" t="s">
        <v>390</v>
      </c>
      <c r="F180" s="62">
        <v>6</v>
      </c>
      <c r="G180" s="82">
        <v>5.75</v>
      </c>
    </row>
    <row r="181" spans="2:7" ht="22.15" customHeight="1">
      <c r="B181" s="60" t="s">
        <v>331</v>
      </c>
      <c r="C181" s="61" t="s">
        <v>332</v>
      </c>
      <c r="D181" s="59" t="s">
        <v>301</v>
      </c>
      <c r="E181" s="3" t="s">
        <v>390</v>
      </c>
      <c r="F181" s="62">
        <v>6</v>
      </c>
      <c r="G181" s="82">
        <v>5.75</v>
      </c>
    </row>
    <row r="182" spans="2:7" ht="22.15" customHeight="1">
      <c r="B182" s="60" t="s">
        <v>333</v>
      </c>
      <c r="C182" s="61" t="s">
        <v>334</v>
      </c>
      <c r="D182" s="59" t="s">
        <v>301</v>
      </c>
      <c r="E182" s="3" t="s">
        <v>390</v>
      </c>
      <c r="F182" s="62">
        <v>6</v>
      </c>
      <c r="G182" s="82">
        <v>5.75</v>
      </c>
    </row>
    <row r="183" spans="2:7" ht="22.15" customHeight="1">
      <c r="B183" s="60" t="s">
        <v>335</v>
      </c>
      <c r="C183" s="61" t="s">
        <v>336</v>
      </c>
      <c r="D183" s="59" t="s">
        <v>301</v>
      </c>
      <c r="E183" s="3" t="s">
        <v>390</v>
      </c>
      <c r="F183" s="62">
        <v>6</v>
      </c>
      <c r="G183" s="82">
        <v>5.75</v>
      </c>
    </row>
    <row r="184" spans="2:7" ht="22.15" customHeight="1">
      <c r="B184" s="60" t="s">
        <v>337</v>
      </c>
      <c r="C184" s="61" t="s">
        <v>338</v>
      </c>
      <c r="D184" s="59" t="s">
        <v>301</v>
      </c>
      <c r="E184" s="3" t="s">
        <v>390</v>
      </c>
      <c r="F184" s="62">
        <v>6</v>
      </c>
      <c r="G184" s="82">
        <v>5.75</v>
      </c>
    </row>
    <row r="185" spans="2:7" ht="22.15" customHeight="1">
      <c r="B185" s="60" t="s">
        <v>339</v>
      </c>
      <c r="C185" s="61" t="s">
        <v>340</v>
      </c>
      <c r="D185" s="59" t="s">
        <v>301</v>
      </c>
      <c r="E185" s="3" t="s">
        <v>390</v>
      </c>
      <c r="F185" s="62">
        <v>6</v>
      </c>
      <c r="G185" s="82">
        <v>5.75</v>
      </c>
    </row>
    <row r="186" spans="2:7" ht="22.15" customHeight="1">
      <c r="B186" s="60" t="s">
        <v>341</v>
      </c>
      <c r="C186" s="61" t="s">
        <v>342</v>
      </c>
      <c r="D186" s="59" t="s">
        <v>301</v>
      </c>
      <c r="E186" s="3" t="s">
        <v>390</v>
      </c>
      <c r="F186" s="62">
        <v>6</v>
      </c>
      <c r="G186" s="82">
        <v>5.75</v>
      </c>
    </row>
    <row r="187" spans="2:7" ht="22.15" customHeight="1">
      <c r="B187" s="60" t="s">
        <v>343</v>
      </c>
      <c r="C187" s="61" t="s">
        <v>344</v>
      </c>
      <c r="D187" s="59" t="s">
        <v>301</v>
      </c>
      <c r="E187" s="3" t="s">
        <v>390</v>
      </c>
      <c r="F187" s="62">
        <v>6</v>
      </c>
      <c r="G187" s="82">
        <v>7.66</v>
      </c>
    </row>
    <row r="188" spans="2:7" ht="22.15" customHeight="1">
      <c r="B188" s="60" t="s">
        <v>345</v>
      </c>
      <c r="C188" s="61" t="s">
        <v>346</v>
      </c>
      <c r="D188" s="59" t="s">
        <v>301</v>
      </c>
      <c r="E188" s="3" t="s">
        <v>390</v>
      </c>
      <c r="F188" s="62">
        <v>6</v>
      </c>
      <c r="G188" s="82">
        <v>7.66</v>
      </c>
    </row>
    <row r="189" spans="2:7" ht="22.15" customHeight="1">
      <c r="B189" s="60" t="s">
        <v>347</v>
      </c>
      <c r="C189" s="61" t="s">
        <v>348</v>
      </c>
      <c r="D189" s="59" t="s">
        <v>301</v>
      </c>
      <c r="E189" s="3" t="s">
        <v>390</v>
      </c>
      <c r="F189" s="62">
        <v>6</v>
      </c>
      <c r="G189" s="82">
        <v>7.66</v>
      </c>
    </row>
    <row r="190" spans="2:7" ht="22.15" customHeight="1">
      <c r="B190" s="1" t="s">
        <v>349</v>
      </c>
      <c r="C190" s="2" t="s">
        <v>350</v>
      </c>
      <c r="D190" s="59" t="s">
        <v>301</v>
      </c>
      <c r="E190" s="3" t="s">
        <v>390</v>
      </c>
      <c r="F190" s="3">
        <v>6</v>
      </c>
      <c r="G190" s="82">
        <v>7.66</v>
      </c>
    </row>
    <row r="191" spans="2:7" ht="22.15" customHeight="1">
      <c r="B191" s="1" t="s">
        <v>351</v>
      </c>
      <c r="C191" s="2" t="s">
        <v>352</v>
      </c>
      <c r="D191" s="59" t="s">
        <v>301</v>
      </c>
      <c r="E191" s="3" t="s">
        <v>390</v>
      </c>
      <c r="F191" s="3">
        <v>6</v>
      </c>
      <c r="G191" s="82">
        <v>7.66</v>
      </c>
    </row>
    <row r="192" spans="2:7" ht="22.15" customHeight="1">
      <c r="B192" s="1" t="s">
        <v>353</v>
      </c>
      <c r="C192" s="2" t="s">
        <v>354</v>
      </c>
      <c r="D192" s="59" t="s">
        <v>301</v>
      </c>
      <c r="E192" s="3" t="s">
        <v>390</v>
      </c>
      <c r="F192" s="3">
        <v>6</v>
      </c>
      <c r="G192" s="82">
        <v>7.66</v>
      </c>
    </row>
    <row r="193" spans="2:7" s="14" customFormat="1" ht="22.15" customHeight="1">
      <c r="B193" s="23" t="s">
        <v>355</v>
      </c>
      <c r="C193" s="25"/>
      <c r="D193" s="25"/>
      <c r="E193" s="25"/>
      <c r="F193" s="25"/>
      <c r="G193" s="82">
        <v>0</v>
      </c>
    </row>
    <row r="194" spans="2:7" ht="22.15" customHeight="1">
      <c r="B194" s="60" t="s">
        <v>356</v>
      </c>
      <c r="C194" s="61" t="s">
        <v>357</v>
      </c>
      <c r="D194" s="59" t="s">
        <v>301</v>
      </c>
      <c r="E194" s="62" t="s">
        <v>398</v>
      </c>
      <c r="F194" s="62">
        <v>1</v>
      </c>
      <c r="G194" s="82">
        <v>47.96</v>
      </c>
    </row>
    <row r="195" spans="2:7" ht="22.15" customHeight="1">
      <c r="B195" s="60" t="s">
        <v>358</v>
      </c>
      <c r="C195" s="61" t="s">
        <v>359</v>
      </c>
      <c r="D195" s="59" t="s">
        <v>301</v>
      </c>
      <c r="E195" s="62" t="s">
        <v>398</v>
      </c>
      <c r="F195" s="62">
        <v>1</v>
      </c>
      <c r="G195" s="82">
        <v>47.96</v>
      </c>
    </row>
    <row r="196" spans="2:7" ht="22.15" customHeight="1">
      <c r="B196" s="60" t="s">
        <v>360</v>
      </c>
      <c r="C196" s="61" t="s">
        <v>361</v>
      </c>
      <c r="D196" s="59" t="s">
        <v>301</v>
      </c>
      <c r="E196" s="62" t="s">
        <v>398</v>
      </c>
      <c r="F196" s="62">
        <v>1</v>
      </c>
      <c r="G196" s="82">
        <v>49.83</v>
      </c>
    </row>
    <row r="197" spans="2:7" ht="22.15" customHeight="1">
      <c r="B197" s="60" t="s">
        <v>362</v>
      </c>
      <c r="C197" s="61" t="s">
        <v>363</v>
      </c>
      <c r="D197" s="59" t="s">
        <v>301</v>
      </c>
      <c r="E197" s="62" t="s">
        <v>398</v>
      </c>
      <c r="F197" s="62">
        <v>1</v>
      </c>
      <c r="G197" s="82">
        <v>47.96</v>
      </c>
    </row>
    <row r="198" spans="2:7" ht="22.15" customHeight="1">
      <c r="B198" s="60" t="s">
        <v>364</v>
      </c>
      <c r="C198" s="61" t="s">
        <v>365</v>
      </c>
      <c r="D198" s="59" t="s">
        <v>301</v>
      </c>
      <c r="E198" s="62" t="s">
        <v>399</v>
      </c>
      <c r="F198" s="62">
        <v>6</v>
      </c>
      <c r="G198" s="82">
        <v>5.15</v>
      </c>
    </row>
    <row r="199" spans="2:7" ht="22.15" customHeight="1">
      <c r="B199" s="60" t="s">
        <v>366</v>
      </c>
      <c r="C199" s="61" t="s">
        <v>367</v>
      </c>
      <c r="D199" s="59" t="s">
        <v>301</v>
      </c>
      <c r="E199" s="62" t="s">
        <v>399</v>
      </c>
      <c r="F199" s="62">
        <v>6</v>
      </c>
      <c r="G199" s="82">
        <v>5.15</v>
      </c>
    </row>
    <row r="200" spans="2:7" ht="22.15" customHeight="1">
      <c r="B200" s="60" t="s">
        <v>368</v>
      </c>
      <c r="C200" s="61" t="s">
        <v>369</v>
      </c>
      <c r="D200" s="59" t="s">
        <v>301</v>
      </c>
      <c r="E200" s="62" t="s">
        <v>399</v>
      </c>
      <c r="F200" s="62">
        <v>6</v>
      </c>
      <c r="G200" s="82">
        <v>5.57</v>
      </c>
    </row>
    <row r="201" spans="2:7" ht="22.15" customHeight="1">
      <c r="B201" s="60" t="s">
        <v>370</v>
      </c>
      <c r="C201" s="61" t="s">
        <v>371</v>
      </c>
      <c r="D201" s="59" t="s">
        <v>301</v>
      </c>
      <c r="E201" s="62" t="s">
        <v>399</v>
      </c>
      <c r="F201" s="62">
        <v>6</v>
      </c>
      <c r="G201" s="82">
        <v>5.15</v>
      </c>
    </row>
    <row r="202" spans="2:7" s="14" customFormat="1" ht="22.15" customHeight="1">
      <c r="B202" s="23" t="s">
        <v>372</v>
      </c>
      <c r="C202" s="25"/>
      <c r="D202" s="25"/>
      <c r="E202" s="25"/>
      <c r="F202" s="25"/>
      <c r="G202" s="82">
        <v>0</v>
      </c>
    </row>
    <row r="203" spans="2:7" ht="22.15" customHeight="1">
      <c r="B203" s="60" t="s">
        <v>373</v>
      </c>
      <c r="C203" s="61" t="s">
        <v>374</v>
      </c>
      <c r="D203" s="59" t="s">
        <v>301</v>
      </c>
      <c r="E203" s="62" t="s">
        <v>400</v>
      </c>
      <c r="F203" s="62">
        <v>4</v>
      </c>
      <c r="G203" s="82">
        <v>17.600000000000001</v>
      </c>
    </row>
    <row r="204" spans="2:7" ht="22.15" customHeight="1">
      <c r="B204" s="1" t="s">
        <v>375</v>
      </c>
      <c r="C204" s="2" t="s">
        <v>376</v>
      </c>
      <c r="D204" s="59" t="s">
        <v>301</v>
      </c>
      <c r="E204" s="3" t="s">
        <v>400</v>
      </c>
      <c r="F204" s="3">
        <v>4</v>
      </c>
      <c r="G204" s="82">
        <v>12.51</v>
      </c>
    </row>
    <row r="205" spans="2:7" ht="22.15" customHeight="1">
      <c r="B205" s="60" t="s">
        <v>377</v>
      </c>
      <c r="C205" s="61" t="s">
        <v>378</v>
      </c>
      <c r="D205" s="59" t="s">
        <v>301</v>
      </c>
      <c r="E205" s="62" t="s">
        <v>400</v>
      </c>
      <c r="F205" s="62">
        <v>4</v>
      </c>
      <c r="G205" s="82">
        <v>12.51</v>
      </c>
    </row>
    <row r="206" spans="2:7" s="14" customFormat="1" ht="22.15" customHeight="1">
      <c r="B206" s="23" t="s">
        <v>379</v>
      </c>
      <c r="C206" s="25"/>
      <c r="D206" s="25"/>
      <c r="E206" s="25"/>
      <c r="F206" s="25"/>
      <c r="G206" s="82">
        <v>0</v>
      </c>
    </row>
    <row r="207" spans="2:7" ht="22.15" customHeight="1">
      <c r="B207" s="60" t="s">
        <v>380</v>
      </c>
      <c r="C207" s="61" t="s">
        <v>381</v>
      </c>
      <c r="D207" s="59" t="s">
        <v>301</v>
      </c>
      <c r="E207" s="62" t="s">
        <v>401</v>
      </c>
      <c r="F207" s="62">
        <v>12</v>
      </c>
      <c r="G207" s="82">
        <v>3.05</v>
      </c>
    </row>
    <row r="208" spans="2:7" s="14" customFormat="1" ht="22.15" customHeight="1">
      <c r="B208" s="23" t="s">
        <v>382</v>
      </c>
      <c r="C208" s="25"/>
      <c r="D208" s="25"/>
      <c r="E208" s="25"/>
      <c r="F208" s="25"/>
      <c r="G208" s="82">
        <v>0</v>
      </c>
    </row>
    <row r="209" spans="1:7" s="65" customFormat="1" ht="22.15" customHeight="1">
      <c r="A209" s="55"/>
      <c r="B209" s="60" t="s">
        <v>383</v>
      </c>
      <c r="C209" s="61" t="s">
        <v>384</v>
      </c>
      <c r="D209" s="59" t="s">
        <v>301</v>
      </c>
      <c r="E209" s="62" t="s">
        <v>402</v>
      </c>
      <c r="F209" s="62">
        <v>1</v>
      </c>
      <c r="G209" s="82">
        <v>8.07</v>
      </c>
    </row>
    <row r="210" spans="1:7" s="65" customFormat="1" ht="22.15" customHeight="1">
      <c r="A210" s="55"/>
      <c r="B210" s="60" t="s">
        <v>385</v>
      </c>
      <c r="C210" s="61" t="s">
        <v>386</v>
      </c>
      <c r="D210" s="59" t="s">
        <v>301</v>
      </c>
      <c r="E210" s="62" t="s">
        <v>402</v>
      </c>
      <c r="F210" s="62">
        <v>1</v>
      </c>
      <c r="G210" s="82">
        <v>8.07</v>
      </c>
    </row>
    <row r="211" spans="1:7" s="14" customFormat="1" ht="22.15" customHeight="1">
      <c r="B211" s="23" t="s">
        <v>387</v>
      </c>
      <c r="C211" s="25"/>
      <c r="D211" s="25"/>
      <c r="E211" s="25"/>
      <c r="F211" s="25"/>
      <c r="G211" s="82">
        <v>0</v>
      </c>
    </row>
    <row r="212" spans="1:7" ht="22.15" customHeight="1">
      <c r="B212" s="60" t="s">
        <v>388</v>
      </c>
      <c r="C212" s="61" t="s">
        <v>389</v>
      </c>
      <c r="D212" s="59" t="s">
        <v>301</v>
      </c>
      <c r="E212" s="62">
        <v>1</v>
      </c>
      <c r="F212" s="62"/>
      <c r="G212" s="82">
        <v>0.97</v>
      </c>
    </row>
    <row r="213" spans="1:7" s="65" customFormat="1">
      <c r="A213" s="55"/>
      <c r="B213" s="75"/>
      <c r="C213" s="57"/>
      <c r="D213" s="76"/>
      <c r="E213" s="55"/>
      <c r="F213" s="55"/>
    </row>
    <row r="214" spans="1:7" s="65" customFormat="1">
      <c r="A214" s="55"/>
      <c r="B214" s="77"/>
      <c r="C214" s="57"/>
      <c r="D214" s="57"/>
      <c r="E214" s="58"/>
      <c r="F214" s="58"/>
    </row>
    <row r="215" spans="1:7" s="65" customFormat="1">
      <c r="A215" s="55"/>
      <c r="B215" s="77"/>
      <c r="C215" s="57"/>
      <c r="D215" s="57"/>
      <c r="E215" s="58"/>
      <c r="F215" s="58"/>
    </row>
  </sheetData>
  <sheetProtection formatCells="0" formatColumns="0" formatRows="0" insertColumns="0" insertRows="0" insertHyperlinks="0" deleteColumns="0" deleteRows="0" sort="0" autoFilter="0" pivotTables="0"/>
  <autoFilter ref="A5:F212"/>
  <printOptions horizontalCentered="1"/>
  <pageMargins left="0.23622047244094491" right="0.23622047244094491" top="0.39370078740157483" bottom="0.39370078740157483" header="0.31496062992125984" footer="0.31496062992125984"/>
  <pageSetup paperSize="9" scale="85" fitToHeight="8" orientation="portrait" r:id="rId1"/>
  <headerFooter>
    <oddFooter>&amp;C
Sayfa &amp;P / &amp;N</oddFooter>
  </headerFooter>
  <rowBreaks count="4" manualBreakCount="4">
    <brk id="38" min="1" max="7" man="1"/>
    <brk id="73" min="1" max="7" man="1"/>
    <brk id="143" min="1" max="7" man="1"/>
    <brk id="173" min="1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9">
    <tabColor rgb="FFFF0000"/>
    <pageSetUpPr fitToPage="1"/>
  </sheetPr>
  <dimension ref="A1:G119"/>
  <sheetViews>
    <sheetView showGridLines="0" zoomScaleNormal="100" zoomScaleSheetLayoutView="70" workbookViewId="0">
      <pane ySplit="6" topLeftCell="A112" activePane="bottomLeft" state="frozen"/>
      <selection pane="bottomLeft" activeCell="A113" sqref="A113:B118"/>
    </sheetView>
  </sheetViews>
  <sheetFormatPr defaultColWidth="9.125" defaultRowHeight="18"/>
  <cols>
    <col min="1" max="1" width="12" style="14" customWidth="1"/>
    <col min="2" max="2" width="51.625" style="15" customWidth="1"/>
    <col min="3" max="3" width="10.75" style="15" customWidth="1"/>
    <col min="4" max="4" width="10.75" style="16" customWidth="1"/>
    <col min="5" max="5" width="8.75" style="18" customWidth="1"/>
    <col min="6" max="6" width="7.25" style="18" customWidth="1"/>
    <col min="7" max="16384" width="9.125" style="14"/>
  </cols>
  <sheetData>
    <row r="1" spans="1:7" ht="7.15" customHeight="1"/>
    <row r="2" spans="1:7" ht="35.450000000000003" customHeight="1">
      <c r="E2" s="14"/>
      <c r="F2" s="19"/>
    </row>
    <row r="3" spans="1:7">
      <c r="A3" s="66"/>
      <c r="E3" s="14"/>
      <c r="F3" s="14"/>
    </row>
    <row r="4" spans="1:7" ht="12.6" customHeight="1">
      <c r="E4" s="67"/>
    </row>
    <row r="5" spans="1:7" ht="20.25">
      <c r="A5" s="68"/>
      <c r="D5" s="20"/>
      <c r="E5" s="21"/>
      <c r="F5" s="21"/>
      <c r="G5" s="78"/>
    </row>
    <row r="6" spans="1:7" ht="73.900000000000006" customHeight="1">
      <c r="A6" s="22" t="s">
        <v>10</v>
      </c>
      <c r="B6" s="22" t="s">
        <v>11</v>
      </c>
      <c r="C6" s="22" t="s">
        <v>664</v>
      </c>
      <c r="D6" s="22" t="s">
        <v>665</v>
      </c>
      <c r="E6" s="22" t="s">
        <v>562</v>
      </c>
      <c r="F6" s="22" t="s">
        <v>12</v>
      </c>
      <c r="G6" s="79" t="s">
        <v>710</v>
      </c>
    </row>
    <row r="7" spans="1:7" ht="25.15" customHeight="1">
      <c r="A7" s="23" t="s">
        <v>403</v>
      </c>
      <c r="B7" s="24"/>
      <c r="C7" s="25"/>
      <c r="D7" s="25"/>
      <c r="E7" s="25"/>
      <c r="F7" s="26"/>
      <c r="G7" s="81"/>
    </row>
    <row r="8" spans="1:7" s="27" customFormat="1" ht="25.15" customHeight="1">
      <c r="A8" s="4" t="s">
        <v>404</v>
      </c>
      <c r="B8" s="4" t="s">
        <v>405</v>
      </c>
      <c r="C8" s="4">
        <v>1600</v>
      </c>
      <c r="D8" s="9">
        <f>C8/E8</f>
        <v>160</v>
      </c>
      <c r="E8" s="9">
        <v>10</v>
      </c>
      <c r="F8" s="9">
        <v>6</v>
      </c>
      <c r="G8" s="82">
        <v>15.57</v>
      </c>
    </row>
    <row r="9" spans="1:7" s="27" customFormat="1" ht="25.15" customHeight="1">
      <c r="A9" s="5" t="s">
        <v>406</v>
      </c>
      <c r="B9" s="6" t="s">
        <v>407</v>
      </c>
      <c r="C9" s="4">
        <v>1600</v>
      </c>
      <c r="D9" s="28">
        <f>C9/E9</f>
        <v>133.33333333333334</v>
      </c>
      <c r="E9" s="10">
        <v>12</v>
      </c>
      <c r="F9" s="10">
        <v>6</v>
      </c>
      <c r="G9" s="82">
        <v>15.57</v>
      </c>
    </row>
    <row r="10" spans="1:7" s="27" customFormat="1" ht="25.15" customHeight="1">
      <c r="A10" s="4" t="s">
        <v>408</v>
      </c>
      <c r="B10" s="4" t="s">
        <v>409</v>
      </c>
      <c r="C10" s="4">
        <v>1600</v>
      </c>
      <c r="D10" s="9">
        <f>C10/E10</f>
        <v>160</v>
      </c>
      <c r="E10" s="9">
        <v>10</v>
      </c>
      <c r="F10" s="9">
        <v>6</v>
      </c>
      <c r="G10" s="82">
        <v>15.57</v>
      </c>
    </row>
    <row r="11" spans="1:7" ht="25.15" customHeight="1">
      <c r="A11" s="7" t="s">
        <v>410</v>
      </c>
      <c r="B11" s="6" t="s">
        <v>411</v>
      </c>
      <c r="C11" s="8">
        <v>1600</v>
      </c>
      <c r="D11" s="28">
        <f>C11/E11</f>
        <v>133.33333333333334</v>
      </c>
      <c r="E11" s="10">
        <v>12</v>
      </c>
      <c r="F11" s="10">
        <v>6</v>
      </c>
      <c r="G11" s="82">
        <v>15.57</v>
      </c>
    </row>
    <row r="12" spans="1:7" ht="25.15" customHeight="1">
      <c r="A12" s="4" t="s">
        <v>412</v>
      </c>
      <c r="B12" s="6" t="s">
        <v>413</v>
      </c>
      <c r="C12" s="4">
        <v>1750</v>
      </c>
      <c r="D12" s="28">
        <f>C12/E12</f>
        <v>175</v>
      </c>
      <c r="E12" s="9">
        <v>10</v>
      </c>
      <c r="F12" s="9">
        <v>6</v>
      </c>
      <c r="G12" s="82">
        <v>18.86</v>
      </c>
    </row>
    <row r="13" spans="1:7" ht="25.15" customHeight="1">
      <c r="A13" s="4" t="s">
        <v>414</v>
      </c>
      <c r="B13" s="6" t="s">
        <v>415</v>
      </c>
      <c r="C13" s="4">
        <v>1600</v>
      </c>
      <c r="D13" s="29">
        <f>C13/E13</f>
        <v>133.33333333333334</v>
      </c>
      <c r="E13" s="9">
        <v>12</v>
      </c>
      <c r="F13" s="9">
        <v>6</v>
      </c>
      <c r="G13" s="82">
        <v>19.36</v>
      </c>
    </row>
    <row r="14" spans="1:7" ht="25.15" customHeight="1">
      <c r="A14" s="4" t="s">
        <v>416</v>
      </c>
      <c r="B14" s="6" t="s">
        <v>417</v>
      </c>
      <c r="C14" s="4">
        <v>1600</v>
      </c>
      <c r="D14" s="29">
        <f>C14/E14</f>
        <v>160</v>
      </c>
      <c r="E14" s="9">
        <v>10</v>
      </c>
      <c r="F14" s="9">
        <v>6</v>
      </c>
      <c r="G14" s="82">
        <v>15.46</v>
      </c>
    </row>
    <row r="15" spans="1:7" ht="25.15" customHeight="1">
      <c r="A15" s="4" t="s">
        <v>418</v>
      </c>
      <c r="B15" s="6" t="s">
        <v>419</v>
      </c>
      <c r="C15" s="4">
        <v>1600</v>
      </c>
      <c r="D15" s="29">
        <f>C15/E15</f>
        <v>133.33333333333334</v>
      </c>
      <c r="E15" s="9">
        <v>12</v>
      </c>
      <c r="F15" s="9">
        <v>6</v>
      </c>
      <c r="G15" s="82">
        <v>15.46</v>
      </c>
    </row>
    <row r="16" spans="1:7" ht="25.15" customHeight="1">
      <c r="A16" s="23" t="s">
        <v>420</v>
      </c>
      <c r="B16" s="24"/>
      <c r="C16" s="25"/>
      <c r="D16" s="25"/>
      <c r="E16" s="25"/>
      <c r="F16" s="26" t="s">
        <v>301</v>
      </c>
      <c r="G16" s="82">
        <v>0</v>
      </c>
    </row>
    <row r="17" spans="1:7" ht="25.15" customHeight="1">
      <c r="A17" s="4" t="s">
        <v>685</v>
      </c>
      <c r="B17" s="6" t="s">
        <v>689</v>
      </c>
      <c r="C17" s="4">
        <v>1100</v>
      </c>
      <c r="D17" s="29">
        <f>C17/E17</f>
        <v>110</v>
      </c>
      <c r="E17" s="9">
        <v>10</v>
      </c>
      <c r="F17" s="9">
        <v>6</v>
      </c>
      <c r="G17" s="82">
        <v>19.62</v>
      </c>
    </row>
    <row r="18" spans="1:7" ht="25.15" customHeight="1">
      <c r="A18" s="4" t="s">
        <v>686</v>
      </c>
      <c r="B18" s="6" t="s">
        <v>690</v>
      </c>
      <c r="C18" s="4">
        <v>1560</v>
      </c>
      <c r="D18" s="29">
        <f>C18/E18</f>
        <v>130</v>
      </c>
      <c r="E18" s="9">
        <v>12</v>
      </c>
      <c r="F18" s="9">
        <v>6</v>
      </c>
      <c r="G18" s="82">
        <v>25.24</v>
      </c>
    </row>
    <row r="19" spans="1:7" ht="25.15" customHeight="1">
      <c r="A19" s="4" t="s">
        <v>687</v>
      </c>
      <c r="B19" s="6" t="s">
        <v>691</v>
      </c>
      <c r="C19" s="4">
        <v>1250</v>
      </c>
      <c r="D19" s="29">
        <f>C19/E19</f>
        <v>125</v>
      </c>
      <c r="E19" s="9">
        <v>10</v>
      </c>
      <c r="F19" s="9">
        <v>6</v>
      </c>
      <c r="G19" s="82">
        <v>16.66</v>
      </c>
    </row>
    <row r="20" spans="1:7" ht="25.15" customHeight="1">
      <c r="A20" s="4" t="s">
        <v>688</v>
      </c>
      <c r="B20" s="6" t="s">
        <v>692</v>
      </c>
      <c r="C20" s="4">
        <v>1250</v>
      </c>
      <c r="D20" s="29">
        <f>C20/E20</f>
        <v>125</v>
      </c>
      <c r="E20" s="9">
        <v>10</v>
      </c>
      <c r="F20" s="9">
        <v>6</v>
      </c>
      <c r="G20" s="82">
        <v>16.66</v>
      </c>
    </row>
    <row r="21" spans="1:7" ht="25.15" customHeight="1">
      <c r="A21" s="4" t="s">
        <v>657</v>
      </c>
      <c r="B21" s="6" t="s">
        <v>693</v>
      </c>
      <c r="C21" s="4">
        <v>1740</v>
      </c>
      <c r="D21" s="29">
        <f>C21/E21</f>
        <v>145</v>
      </c>
      <c r="E21" s="9">
        <v>12</v>
      </c>
      <c r="F21" s="9">
        <v>6</v>
      </c>
      <c r="G21" s="82">
        <v>18.96</v>
      </c>
    </row>
    <row r="22" spans="1:7" s="27" customFormat="1" ht="25.15" customHeight="1">
      <c r="A22" s="4" t="s">
        <v>421</v>
      </c>
      <c r="B22" s="4" t="s">
        <v>422</v>
      </c>
      <c r="C22" s="4">
        <v>1225</v>
      </c>
      <c r="D22" s="9">
        <f>C22/E22</f>
        <v>122.5</v>
      </c>
      <c r="E22" s="9">
        <v>10</v>
      </c>
      <c r="F22" s="9">
        <v>6</v>
      </c>
      <c r="G22" s="82">
        <v>11.69</v>
      </c>
    </row>
    <row r="23" spans="1:7" ht="25.15" customHeight="1">
      <c r="A23" s="4" t="s">
        <v>423</v>
      </c>
      <c r="B23" s="6" t="s">
        <v>424</v>
      </c>
      <c r="C23" s="4">
        <v>1225</v>
      </c>
      <c r="D23" s="28">
        <f>C23/E23</f>
        <v>102.08333333333333</v>
      </c>
      <c r="E23" s="9">
        <v>12</v>
      </c>
      <c r="F23" s="9">
        <v>6</v>
      </c>
      <c r="G23" s="82">
        <v>11.69</v>
      </c>
    </row>
    <row r="24" spans="1:7" s="27" customFormat="1" ht="25.15" customHeight="1">
      <c r="A24" s="30" t="s">
        <v>425</v>
      </c>
      <c r="B24" s="31" t="s">
        <v>426</v>
      </c>
      <c r="C24" s="30">
        <v>1585</v>
      </c>
      <c r="D24" s="28">
        <f>C24/E24</f>
        <v>176.11111111111111</v>
      </c>
      <c r="E24" s="32">
        <v>9</v>
      </c>
      <c r="F24" s="32">
        <v>6</v>
      </c>
      <c r="G24" s="82">
        <v>13.28</v>
      </c>
    </row>
    <row r="25" spans="1:7" s="27" customFormat="1" ht="25.15" customHeight="1">
      <c r="A25" s="4" t="s">
        <v>427</v>
      </c>
      <c r="B25" s="6" t="s">
        <v>428</v>
      </c>
      <c r="C25" s="4">
        <v>1000</v>
      </c>
      <c r="D25" s="28">
        <f>C25/E25</f>
        <v>125</v>
      </c>
      <c r="E25" s="9">
        <v>8</v>
      </c>
      <c r="F25" s="9">
        <v>6</v>
      </c>
      <c r="G25" s="82">
        <v>11.86</v>
      </c>
    </row>
    <row r="26" spans="1:7" s="27" customFormat="1" ht="25.15" customHeight="1">
      <c r="A26" s="4" t="s">
        <v>429</v>
      </c>
      <c r="B26" s="6" t="s">
        <v>430</v>
      </c>
      <c r="C26" s="4">
        <v>2140</v>
      </c>
      <c r="D26" s="28">
        <f>C26/E26</f>
        <v>152.85714285714286</v>
      </c>
      <c r="E26" s="9">
        <v>14</v>
      </c>
      <c r="F26" s="9">
        <v>4</v>
      </c>
      <c r="G26" s="82">
        <v>15.25</v>
      </c>
    </row>
    <row r="27" spans="1:7" ht="25.15" customHeight="1">
      <c r="A27" s="5" t="s">
        <v>431</v>
      </c>
      <c r="B27" s="4" t="s">
        <v>432</v>
      </c>
      <c r="C27" s="4">
        <v>1300</v>
      </c>
      <c r="D27" s="9">
        <f>C27/E27</f>
        <v>130</v>
      </c>
      <c r="E27" s="9">
        <v>10</v>
      </c>
      <c r="F27" s="10">
        <v>6</v>
      </c>
      <c r="G27" s="82">
        <v>16.43</v>
      </c>
    </row>
    <row r="28" spans="1:7" s="27" customFormat="1" ht="25.15" customHeight="1">
      <c r="A28" s="5" t="s">
        <v>433</v>
      </c>
      <c r="B28" s="6" t="s">
        <v>434</v>
      </c>
      <c r="C28" s="4">
        <v>1300</v>
      </c>
      <c r="D28" s="28">
        <f>C28/E28</f>
        <v>108.33333333333333</v>
      </c>
      <c r="E28" s="10">
        <v>12</v>
      </c>
      <c r="F28" s="10">
        <v>6</v>
      </c>
      <c r="G28" s="82">
        <v>16.43</v>
      </c>
    </row>
    <row r="29" spans="1:7" s="27" customFormat="1" ht="25.15" customHeight="1">
      <c r="A29" s="4" t="s">
        <v>435</v>
      </c>
      <c r="B29" s="4" t="s">
        <v>436</v>
      </c>
      <c r="C29" s="4">
        <v>1400</v>
      </c>
      <c r="D29" s="9">
        <f>C29/E29</f>
        <v>140</v>
      </c>
      <c r="E29" s="9">
        <v>10</v>
      </c>
      <c r="F29" s="9">
        <v>4</v>
      </c>
      <c r="G29" s="82">
        <v>19.62</v>
      </c>
    </row>
    <row r="30" spans="1:7" s="27" customFormat="1" ht="25.15" customHeight="1">
      <c r="A30" s="30" t="s">
        <v>437</v>
      </c>
      <c r="B30" s="31" t="s">
        <v>438</v>
      </c>
      <c r="C30" s="30">
        <v>1400</v>
      </c>
      <c r="D30" s="28">
        <f>C30/E30</f>
        <v>116.66666666666667</v>
      </c>
      <c r="E30" s="32">
        <v>12</v>
      </c>
      <c r="F30" s="32">
        <v>4</v>
      </c>
      <c r="G30" s="82">
        <v>19.62</v>
      </c>
    </row>
    <row r="31" spans="1:7" s="27" customFormat="1" ht="25.15" customHeight="1">
      <c r="A31" s="4" t="s">
        <v>439</v>
      </c>
      <c r="B31" s="6" t="s">
        <v>440</v>
      </c>
      <c r="C31" s="4">
        <v>1300</v>
      </c>
      <c r="D31" s="28">
        <f>C31/E31</f>
        <v>130</v>
      </c>
      <c r="E31" s="9">
        <v>10</v>
      </c>
      <c r="F31" s="9">
        <v>6</v>
      </c>
      <c r="G31" s="82">
        <v>16.77</v>
      </c>
    </row>
    <row r="32" spans="1:7" s="27" customFormat="1" ht="25.15" customHeight="1">
      <c r="A32" s="4" t="s">
        <v>441</v>
      </c>
      <c r="B32" s="6" t="s">
        <v>442</v>
      </c>
      <c r="C32" s="4">
        <v>1300</v>
      </c>
      <c r="D32" s="28">
        <f>C32/E32</f>
        <v>108.33333333333333</v>
      </c>
      <c r="E32" s="9">
        <v>12</v>
      </c>
      <c r="F32" s="9">
        <v>6</v>
      </c>
      <c r="G32" s="82">
        <v>16.77</v>
      </c>
    </row>
    <row r="33" spans="1:7" s="27" customFormat="1" ht="25.15" customHeight="1">
      <c r="A33" s="4" t="s">
        <v>447</v>
      </c>
      <c r="B33" s="6" t="s">
        <v>448</v>
      </c>
      <c r="C33" s="4">
        <v>1560</v>
      </c>
      <c r="D33" s="28">
        <f>C33/E33</f>
        <v>156</v>
      </c>
      <c r="E33" s="9">
        <v>10</v>
      </c>
      <c r="F33" s="9">
        <v>6</v>
      </c>
      <c r="G33" s="82">
        <v>16.350000000000001</v>
      </c>
    </row>
    <row r="34" spans="1:7" s="27" customFormat="1" ht="25.15" customHeight="1">
      <c r="A34" s="4" t="s">
        <v>443</v>
      </c>
      <c r="B34" s="4" t="s">
        <v>444</v>
      </c>
      <c r="C34" s="4">
        <v>1200</v>
      </c>
      <c r="D34" s="9">
        <f>C34/E34</f>
        <v>120</v>
      </c>
      <c r="E34" s="9">
        <v>10</v>
      </c>
      <c r="F34" s="9">
        <v>6</v>
      </c>
      <c r="G34" s="82">
        <v>15.05</v>
      </c>
    </row>
    <row r="35" spans="1:7" s="27" customFormat="1" ht="25.15" customHeight="1">
      <c r="A35" s="4" t="s">
        <v>445</v>
      </c>
      <c r="B35" s="6" t="s">
        <v>446</v>
      </c>
      <c r="C35" s="4">
        <v>1200</v>
      </c>
      <c r="D35" s="29">
        <f>C35/E35</f>
        <v>100</v>
      </c>
      <c r="E35" s="9">
        <v>12</v>
      </c>
      <c r="F35" s="9">
        <v>6</v>
      </c>
      <c r="G35" s="82">
        <v>15.05</v>
      </c>
    </row>
    <row r="36" spans="1:7" s="27" customFormat="1" ht="25.15" customHeight="1">
      <c r="A36" s="4" t="s">
        <v>449</v>
      </c>
      <c r="B36" s="4" t="s">
        <v>450</v>
      </c>
      <c r="C36" s="4">
        <v>1400</v>
      </c>
      <c r="D36" s="9">
        <f>C36/E36</f>
        <v>140</v>
      </c>
      <c r="E36" s="9">
        <v>10</v>
      </c>
      <c r="F36" s="9">
        <v>6</v>
      </c>
      <c r="G36" s="82">
        <v>16.38</v>
      </c>
    </row>
    <row r="37" spans="1:7" ht="25.15" customHeight="1">
      <c r="A37" s="4" t="s">
        <v>451</v>
      </c>
      <c r="B37" s="6" t="s">
        <v>452</v>
      </c>
      <c r="C37" s="4">
        <v>1400</v>
      </c>
      <c r="D37" s="28">
        <f>C37/E37</f>
        <v>116.66666666666667</v>
      </c>
      <c r="E37" s="9">
        <v>12</v>
      </c>
      <c r="F37" s="9">
        <v>6</v>
      </c>
      <c r="G37" s="82">
        <v>16.38</v>
      </c>
    </row>
    <row r="38" spans="1:7" s="27" customFormat="1" ht="25.15" customHeight="1">
      <c r="A38" s="4" t="s">
        <v>453</v>
      </c>
      <c r="B38" s="6" t="s">
        <v>454</v>
      </c>
      <c r="C38" s="4">
        <v>1540</v>
      </c>
      <c r="D38" s="29">
        <f>C38/E38</f>
        <v>128.33333333333334</v>
      </c>
      <c r="E38" s="9">
        <v>12</v>
      </c>
      <c r="F38" s="9">
        <v>6</v>
      </c>
      <c r="G38" s="82">
        <v>24.56</v>
      </c>
    </row>
    <row r="39" spans="1:7" s="27" customFormat="1" ht="25.15" customHeight="1">
      <c r="A39" s="4" t="s">
        <v>455</v>
      </c>
      <c r="B39" s="6" t="s">
        <v>456</v>
      </c>
      <c r="C39" s="4">
        <v>1640</v>
      </c>
      <c r="D39" s="28">
        <f>C39/E39</f>
        <v>136.66666666666666</v>
      </c>
      <c r="E39" s="9">
        <v>12</v>
      </c>
      <c r="F39" s="9">
        <v>6</v>
      </c>
      <c r="G39" s="82">
        <v>19.98</v>
      </c>
    </row>
    <row r="40" spans="1:7" s="27" customFormat="1" ht="25.15" customHeight="1">
      <c r="A40" s="4" t="s">
        <v>457</v>
      </c>
      <c r="B40" s="6" t="s">
        <v>458</v>
      </c>
      <c r="C40" s="4">
        <v>1570</v>
      </c>
      <c r="D40" s="28">
        <f>C40/E40</f>
        <v>130.83333333333334</v>
      </c>
      <c r="E40" s="9">
        <v>12</v>
      </c>
      <c r="F40" s="9">
        <v>6</v>
      </c>
      <c r="G40" s="82">
        <v>20.95</v>
      </c>
    </row>
    <row r="41" spans="1:7" ht="25.15" customHeight="1">
      <c r="A41" s="4" t="s">
        <v>459</v>
      </c>
      <c r="B41" s="6" t="s">
        <v>460</v>
      </c>
      <c r="C41" s="4">
        <v>1350</v>
      </c>
      <c r="D41" s="28">
        <f>C41/E41</f>
        <v>150</v>
      </c>
      <c r="E41" s="9">
        <v>9</v>
      </c>
      <c r="F41" s="9">
        <v>6</v>
      </c>
      <c r="G41" s="82">
        <v>17.73</v>
      </c>
    </row>
    <row r="42" spans="1:7" ht="25.15" customHeight="1">
      <c r="A42" s="4" t="s">
        <v>461</v>
      </c>
      <c r="B42" s="6" t="s">
        <v>462</v>
      </c>
      <c r="C42" s="4">
        <v>2200</v>
      </c>
      <c r="D42" s="28">
        <f>C42/E42</f>
        <v>183.33333333333334</v>
      </c>
      <c r="E42" s="9">
        <v>12</v>
      </c>
      <c r="F42" s="9">
        <v>4</v>
      </c>
      <c r="G42" s="82">
        <v>23.27</v>
      </c>
    </row>
    <row r="43" spans="1:7" ht="25.15" customHeight="1">
      <c r="A43" s="4" t="s">
        <v>464</v>
      </c>
      <c r="B43" s="6" t="s">
        <v>463</v>
      </c>
      <c r="C43" s="4">
        <v>1400</v>
      </c>
      <c r="D43" s="28">
        <f>C43/E43</f>
        <v>116.66666666666667</v>
      </c>
      <c r="E43" s="9">
        <v>12</v>
      </c>
      <c r="F43" s="9">
        <v>6</v>
      </c>
      <c r="G43" s="82">
        <v>21.18</v>
      </c>
    </row>
    <row r="44" spans="1:7" ht="25.15" customHeight="1">
      <c r="A44" s="23" t="s">
        <v>465</v>
      </c>
      <c r="B44" s="24"/>
      <c r="C44" s="25"/>
      <c r="D44" s="25"/>
      <c r="E44" s="25"/>
      <c r="F44" s="26"/>
      <c r="G44" s="82">
        <v>0</v>
      </c>
    </row>
    <row r="45" spans="1:7" ht="25.15" customHeight="1">
      <c r="A45" s="4" t="s">
        <v>677</v>
      </c>
      <c r="B45" s="6" t="s">
        <v>708</v>
      </c>
      <c r="C45" s="4">
        <v>1950</v>
      </c>
      <c r="D45" s="29">
        <f>C45/E45</f>
        <v>162.5</v>
      </c>
      <c r="E45" s="11">
        <v>12</v>
      </c>
      <c r="F45" s="11">
        <v>4</v>
      </c>
      <c r="G45" s="82">
        <v>16.09</v>
      </c>
    </row>
    <row r="46" spans="1:7" ht="25.15" customHeight="1">
      <c r="A46" s="4" t="s">
        <v>655</v>
      </c>
      <c r="B46" s="6" t="s">
        <v>709</v>
      </c>
      <c r="C46" s="4">
        <v>2170</v>
      </c>
      <c r="D46" s="29">
        <f>C46/E46</f>
        <v>155</v>
      </c>
      <c r="E46" s="11">
        <v>14</v>
      </c>
      <c r="F46" s="11">
        <v>4</v>
      </c>
      <c r="G46" s="82">
        <v>11.63</v>
      </c>
    </row>
    <row r="47" spans="1:7" s="27" customFormat="1" ht="25.15" customHeight="1">
      <c r="A47" s="30" t="s">
        <v>466</v>
      </c>
      <c r="B47" s="31" t="s">
        <v>467</v>
      </c>
      <c r="C47" s="30">
        <v>1690</v>
      </c>
      <c r="D47" s="29">
        <f>C47/E47</f>
        <v>140.83333333333334</v>
      </c>
      <c r="E47" s="32">
        <v>12</v>
      </c>
      <c r="F47" s="32">
        <v>4</v>
      </c>
      <c r="G47" s="82">
        <v>14.13</v>
      </c>
    </row>
    <row r="48" spans="1:7" ht="25.15" customHeight="1">
      <c r="A48" s="4" t="s">
        <v>468</v>
      </c>
      <c r="B48" s="6" t="s">
        <v>469</v>
      </c>
      <c r="C48" s="4">
        <v>1530</v>
      </c>
      <c r="D48" s="28">
        <f>C48/E48</f>
        <v>127.5</v>
      </c>
      <c r="E48" s="11">
        <v>12</v>
      </c>
      <c r="F48" s="11">
        <v>4</v>
      </c>
      <c r="G48" s="82">
        <v>13.41</v>
      </c>
    </row>
    <row r="49" spans="1:7" s="27" customFormat="1" ht="25.15" customHeight="1">
      <c r="A49" s="30" t="s">
        <v>470</v>
      </c>
      <c r="B49" s="31" t="s">
        <v>471</v>
      </c>
      <c r="C49" s="30">
        <v>1250</v>
      </c>
      <c r="D49" s="28">
        <f>C49/E49</f>
        <v>138.88888888888889</v>
      </c>
      <c r="E49" s="32">
        <v>9</v>
      </c>
      <c r="F49" s="32">
        <v>4</v>
      </c>
      <c r="G49" s="82">
        <v>11.1</v>
      </c>
    </row>
    <row r="50" spans="1:7" s="27" customFormat="1" ht="25.15" customHeight="1">
      <c r="A50" s="4" t="s">
        <v>472</v>
      </c>
      <c r="B50" s="6" t="s">
        <v>473</v>
      </c>
      <c r="C50" s="4">
        <v>1150</v>
      </c>
      <c r="D50" s="28">
        <f>C50/E50</f>
        <v>127.77777777777777</v>
      </c>
      <c r="E50" s="9">
        <v>9</v>
      </c>
      <c r="F50" s="9">
        <v>4</v>
      </c>
      <c r="G50" s="82">
        <v>10.59</v>
      </c>
    </row>
    <row r="51" spans="1:7" ht="25.15" customHeight="1">
      <c r="A51" s="4" t="s">
        <v>474</v>
      </c>
      <c r="B51" s="6" t="s">
        <v>475</v>
      </c>
      <c r="C51" s="4">
        <v>1500</v>
      </c>
      <c r="D51" s="28">
        <f>C51/E51</f>
        <v>75</v>
      </c>
      <c r="E51" s="9">
        <v>20</v>
      </c>
      <c r="F51" s="9">
        <v>4</v>
      </c>
      <c r="G51" s="82">
        <v>15.67</v>
      </c>
    </row>
    <row r="52" spans="1:7" ht="25.15" customHeight="1">
      <c r="A52" s="4" t="s">
        <v>476</v>
      </c>
      <c r="B52" s="6" t="s">
        <v>477</v>
      </c>
      <c r="C52" s="4">
        <v>1500</v>
      </c>
      <c r="D52" s="28">
        <f>C52/E52</f>
        <v>75</v>
      </c>
      <c r="E52" s="9">
        <v>20</v>
      </c>
      <c r="F52" s="9">
        <v>4</v>
      </c>
      <c r="G52" s="82">
        <v>15.67</v>
      </c>
    </row>
    <row r="53" spans="1:7" ht="25.15" customHeight="1">
      <c r="A53" s="33" t="s">
        <v>478</v>
      </c>
      <c r="B53" s="34" t="s">
        <v>479</v>
      </c>
      <c r="C53" s="33">
        <v>1570</v>
      </c>
      <c r="D53" s="28">
        <f>C53/E53</f>
        <v>78.5</v>
      </c>
      <c r="E53" s="35">
        <v>20</v>
      </c>
      <c r="F53" s="35">
        <v>4</v>
      </c>
      <c r="G53" s="82">
        <v>15.88</v>
      </c>
    </row>
    <row r="54" spans="1:7" ht="25.15" customHeight="1">
      <c r="A54" s="30" t="s">
        <v>480</v>
      </c>
      <c r="B54" s="31" t="s">
        <v>481</v>
      </c>
      <c r="C54" s="36">
        <v>720</v>
      </c>
      <c r="D54" s="28">
        <f>C54/F54</f>
        <v>80</v>
      </c>
      <c r="E54" s="37"/>
      <c r="F54" s="37">
        <v>9</v>
      </c>
      <c r="G54" s="82">
        <v>1.88</v>
      </c>
    </row>
    <row r="55" spans="1:7" ht="25.15" customHeight="1">
      <c r="A55" s="30" t="s">
        <v>482</v>
      </c>
      <c r="B55" s="31" t="s">
        <v>483</v>
      </c>
      <c r="C55" s="36">
        <v>720</v>
      </c>
      <c r="D55" s="28">
        <f>C55/F55</f>
        <v>80</v>
      </c>
      <c r="E55" s="37"/>
      <c r="F55" s="37">
        <v>9</v>
      </c>
      <c r="G55" s="82">
        <v>2.0499999999999998</v>
      </c>
    </row>
    <row r="56" spans="1:7" ht="25.15" customHeight="1">
      <c r="A56" s="30" t="s">
        <v>484</v>
      </c>
      <c r="B56" s="31" t="s">
        <v>485</v>
      </c>
      <c r="C56" s="36">
        <v>720</v>
      </c>
      <c r="D56" s="28">
        <f>C56/F56</f>
        <v>80</v>
      </c>
      <c r="E56" s="37"/>
      <c r="F56" s="37">
        <v>9</v>
      </c>
      <c r="G56" s="82">
        <v>2.16</v>
      </c>
    </row>
    <row r="57" spans="1:7" ht="25.15" customHeight="1">
      <c r="A57" s="30" t="s">
        <v>486</v>
      </c>
      <c r="B57" s="31" t="s">
        <v>487</v>
      </c>
      <c r="C57" s="36">
        <v>720</v>
      </c>
      <c r="D57" s="28">
        <f>C57/F57</f>
        <v>80</v>
      </c>
      <c r="E57" s="37"/>
      <c r="F57" s="37">
        <v>9</v>
      </c>
      <c r="G57" s="82">
        <v>2.02</v>
      </c>
    </row>
    <row r="58" spans="1:7" ht="25.15" customHeight="1">
      <c r="A58" s="30" t="s">
        <v>488</v>
      </c>
      <c r="B58" s="31" t="s">
        <v>489</v>
      </c>
      <c r="C58" s="30">
        <v>9555</v>
      </c>
      <c r="D58" s="28">
        <f>C58/F58</f>
        <v>455</v>
      </c>
      <c r="E58" s="37"/>
      <c r="F58" s="37">
        <v>21</v>
      </c>
      <c r="G58" s="82">
        <v>2.5099999999999998</v>
      </c>
    </row>
    <row r="59" spans="1:7" ht="25.15" customHeight="1">
      <c r="A59" s="30" t="s">
        <v>490</v>
      </c>
      <c r="B59" s="31" t="s">
        <v>491</v>
      </c>
      <c r="C59" s="30">
        <v>900</v>
      </c>
      <c r="D59" s="28">
        <f>C59/F59</f>
        <v>100</v>
      </c>
      <c r="E59" s="37"/>
      <c r="F59" s="37">
        <v>9</v>
      </c>
      <c r="G59" s="82">
        <v>1.96</v>
      </c>
    </row>
    <row r="60" spans="1:7" ht="25.15" customHeight="1">
      <c r="A60" s="8" t="s">
        <v>492</v>
      </c>
      <c r="B60" s="6" t="s">
        <v>493</v>
      </c>
      <c r="C60" s="4">
        <v>720</v>
      </c>
      <c r="D60" s="28">
        <f>C60/F60</f>
        <v>80</v>
      </c>
      <c r="E60" s="9"/>
      <c r="F60" s="9">
        <v>9</v>
      </c>
      <c r="G60" s="82">
        <v>0.99</v>
      </c>
    </row>
    <row r="61" spans="1:7" s="27" customFormat="1" ht="25.15" customHeight="1">
      <c r="A61" s="4" t="s">
        <v>494</v>
      </c>
      <c r="B61" s="6" t="s">
        <v>495</v>
      </c>
      <c r="C61" s="4">
        <v>675</v>
      </c>
      <c r="D61" s="28">
        <f>C61/F61</f>
        <v>75</v>
      </c>
      <c r="E61" s="9"/>
      <c r="F61" s="9">
        <v>9</v>
      </c>
      <c r="G61" s="82">
        <v>0.99</v>
      </c>
    </row>
    <row r="62" spans="1:7" ht="25.15" customHeight="1">
      <c r="A62" s="4" t="s">
        <v>496</v>
      </c>
      <c r="B62" s="6" t="s">
        <v>497</v>
      </c>
      <c r="C62" s="4">
        <v>720</v>
      </c>
      <c r="D62" s="28">
        <f>C62/F62</f>
        <v>80</v>
      </c>
      <c r="E62" s="9"/>
      <c r="F62" s="9">
        <v>9</v>
      </c>
      <c r="G62" s="82">
        <v>0.99</v>
      </c>
    </row>
    <row r="63" spans="1:7" s="27" customFormat="1" ht="25.15" customHeight="1">
      <c r="A63" s="30" t="s">
        <v>498</v>
      </c>
      <c r="B63" s="31" t="s">
        <v>499</v>
      </c>
      <c r="C63" s="30">
        <v>720</v>
      </c>
      <c r="D63" s="28">
        <f>C63/F63</f>
        <v>80</v>
      </c>
      <c r="E63" s="32"/>
      <c r="F63" s="32">
        <v>9</v>
      </c>
      <c r="G63" s="82">
        <v>0.95</v>
      </c>
    </row>
    <row r="64" spans="1:7" ht="25.15" customHeight="1">
      <c r="A64" s="23" t="s">
        <v>500</v>
      </c>
      <c r="B64" s="24"/>
      <c r="C64" s="25"/>
      <c r="D64" s="25"/>
      <c r="E64" s="25"/>
      <c r="F64" s="26" t="s">
        <v>301</v>
      </c>
      <c r="G64" s="82">
        <v>0</v>
      </c>
    </row>
    <row r="65" spans="1:7" s="27" customFormat="1" ht="25.15" customHeight="1">
      <c r="A65" s="4" t="s">
        <v>501</v>
      </c>
      <c r="B65" s="6" t="s">
        <v>502</v>
      </c>
      <c r="C65" s="4">
        <v>1850</v>
      </c>
      <c r="D65" s="28">
        <f>C65/E65</f>
        <v>205.55555555555554</v>
      </c>
      <c r="E65" s="9">
        <v>9</v>
      </c>
      <c r="F65" s="9">
        <v>6</v>
      </c>
      <c r="G65" s="82">
        <v>11.63</v>
      </c>
    </row>
    <row r="66" spans="1:7" ht="25.15" customHeight="1">
      <c r="A66" s="23" t="s">
        <v>503</v>
      </c>
      <c r="B66" s="24"/>
      <c r="C66" s="25"/>
      <c r="D66" s="25"/>
      <c r="E66" s="25"/>
      <c r="F66" s="26" t="s">
        <v>301</v>
      </c>
      <c r="G66" s="82">
        <v>0</v>
      </c>
    </row>
    <row r="67" spans="1:7" ht="25.15" customHeight="1">
      <c r="A67" s="4" t="s">
        <v>504</v>
      </c>
      <c r="B67" s="6" t="s">
        <v>505</v>
      </c>
      <c r="C67" s="4">
        <v>1400</v>
      </c>
      <c r="D67" s="29">
        <f>C67/E67</f>
        <v>140</v>
      </c>
      <c r="E67" s="9">
        <v>10</v>
      </c>
      <c r="F67" s="9">
        <v>6</v>
      </c>
      <c r="G67" s="82">
        <v>13.89</v>
      </c>
    </row>
    <row r="68" spans="1:7" ht="25.15" customHeight="1">
      <c r="A68" s="4" t="s">
        <v>506</v>
      </c>
      <c r="B68" s="6" t="s">
        <v>507</v>
      </c>
      <c r="C68" s="4">
        <v>1400</v>
      </c>
      <c r="D68" s="29">
        <f>C68/E68</f>
        <v>140</v>
      </c>
      <c r="E68" s="9">
        <v>10</v>
      </c>
      <c r="F68" s="9">
        <v>6</v>
      </c>
      <c r="G68" s="82">
        <v>15.85</v>
      </c>
    </row>
    <row r="69" spans="1:7" s="38" customFormat="1" ht="24.75" customHeight="1">
      <c r="A69" s="4" t="s">
        <v>508</v>
      </c>
      <c r="B69" s="6" t="s">
        <v>509</v>
      </c>
      <c r="C69" s="4">
        <v>1200</v>
      </c>
      <c r="D69" s="29">
        <f>C69/E69</f>
        <v>120</v>
      </c>
      <c r="E69" s="9">
        <v>10</v>
      </c>
      <c r="F69" s="9">
        <v>4</v>
      </c>
      <c r="G69" s="82">
        <v>18.829999999999998</v>
      </c>
    </row>
    <row r="70" spans="1:7" s="38" customFormat="1" ht="25.15" customHeight="1">
      <c r="A70" s="23" t="s">
        <v>510</v>
      </c>
      <c r="B70" s="24"/>
      <c r="C70" s="25"/>
      <c r="D70" s="25"/>
      <c r="E70" s="25"/>
      <c r="F70" s="26" t="s">
        <v>301</v>
      </c>
      <c r="G70" s="82">
        <v>0</v>
      </c>
    </row>
    <row r="71" spans="1:7" s="38" customFormat="1" ht="25.15" customHeight="1">
      <c r="A71" s="4" t="s">
        <v>680</v>
      </c>
      <c r="B71" s="6" t="s">
        <v>703</v>
      </c>
      <c r="C71" s="4">
        <v>1050</v>
      </c>
      <c r="D71" s="28">
        <f>C71/E71</f>
        <v>262.5</v>
      </c>
      <c r="E71" s="9">
        <v>4</v>
      </c>
      <c r="F71" s="9">
        <v>6</v>
      </c>
      <c r="G71" s="82">
        <v>15.25</v>
      </c>
    </row>
    <row r="72" spans="1:7" s="38" customFormat="1" ht="25.15" customHeight="1">
      <c r="A72" s="4" t="s">
        <v>681</v>
      </c>
      <c r="B72" s="6" t="s">
        <v>704</v>
      </c>
      <c r="C72" s="4">
        <v>1620</v>
      </c>
      <c r="D72" s="28">
        <f>C72/E72</f>
        <v>180</v>
      </c>
      <c r="E72" s="9">
        <v>9</v>
      </c>
      <c r="F72" s="9">
        <v>4</v>
      </c>
      <c r="G72" s="82">
        <v>18.93</v>
      </c>
    </row>
    <row r="73" spans="1:7" s="38" customFormat="1" ht="25.15" customHeight="1">
      <c r="A73" s="4" t="s">
        <v>682</v>
      </c>
      <c r="B73" s="6" t="s">
        <v>705</v>
      </c>
      <c r="C73" s="4">
        <v>1820</v>
      </c>
      <c r="D73" s="28">
        <f>C73/E73</f>
        <v>202.22222222222223</v>
      </c>
      <c r="E73" s="9">
        <v>9</v>
      </c>
      <c r="F73" s="9">
        <v>4</v>
      </c>
      <c r="G73" s="82">
        <v>18.93</v>
      </c>
    </row>
    <row r="74" spans="1:7" s="38" customFormat="1" ht="25.15" customHeight="1">
      <c r="A74" s="4" t="s">
        <v>683</v>
      </c>
      <c r="B74" s="6" t="s">
        <v>706</v>
      </c>
      <c r="C74" s="4">
        <v>1900</v>
      </c>
      <c r="D74" s="28">
        <f>C74/E74</f>
        <v>211.11111111111111</v>
      </c>
      <c r="E74" s="9">
        <v>9</v>
      </c>
      <c r="F74" s="9">
        <v>4</v>
      </c>
      <c r="G74" s="82">
        <v>18.93</v>
      </c>
    </row>
    <row r="75" spans="1:7" s="38" customFormat="1" ht="25.15" customHeight="1">
      <c r="A75" s="4" t="s">
        <v>684</v>
      </c>
      <c r="B75" s="6" t="s">
        <v>707</v>
      </c>
      <c r="C75" s="4">
        <v>1730</v>
      </c>
      <c r="D75" s="28">
        <f>C75/E75</f>
        <v>192.22222222222223</v>
      </c>
      <c r="E75" s="9">
        <v>9</v>
      </c>
      <c r="F75" s="9">
        <v>4</v>
      </c>
      <c r="G75" s="82">
        <v>20.96</v>
      </c>
    </row>
    <row r="76" spans="1:7" s="38" customFormat="1" ht="25.15" customHeight="1">
      <c r="A76" s="4" t="s">
        <v>676</v>
      </c>
      <c r="B76" s="6" t="s">
        <v>694</v>
      </c>
      <c r="C76" s="4">
        <v>830</v>
      </c>
      <c r="D76" s="28">
        <f>C76/E76</f>
        <v>92.222222222222229</v>
      </c>
      <c r="E76" s="9">
        <v>9</v>
      </c>
      <c r="F76" s="9">
        <v>6</v>
      </c>
      <c r="G76" s="82">
        <v>14.05</v>
      </c>
    </row>
    <row r="77" spans="1:7" s="38" customFormat="1" ht="25.15" customHeight="1">
      <c r="A77" s="4" t="s">
        <v>678</v>
      </c>
      <c r="B77" s="6" t="s">
        <v>695</v>
      </c>
      <c r="C77" s="4">
        <v>1440</v>
      </c>
      <c r="D77" s="28">
        <f>C77/E77</f>
        <v>160</v>
      </c>
      <c r="E77" s="9">
        <v>9</v>
      </c>
      <c r="F77" s="9">
        <v>6</v>
      </c>
      <c r="G77" s="82">
        <v>18.59</v>
      </c>
    </row>
    <row r="78" spans="1:7" s="38" customFormat="1" ht="25.15" customHeight="1">
      <c r="A78" s="4" t="s">
        <v>662</v>
      </c>
      <c r="B78" s="6" t="s">
        <v>696</v>
      </c>
      <c r="C78" s="4">
        <v>1680</v>
      </c>
      <c r="D78" s="28">
        <f>C78/E78</f>
        <v>210</v>
      </c>
      <c r="E78" s="9">
        <v>8</v>
      </c>
      <c r="F78" s="9">
        <v>6</v>
      </c>
      <c r="G78" s="82">
        <v>16.14</v>
      </c>
    </row>
    <row r="79" spans="1:7" s="38" customFormat="1" ht="25.15" customHeight="1">
      <c r="A79" s="4" t="s">
        <v>658</v>
      </c>
      <c r="B79" s="6" t="s">
        <v>697</v>
      </c>
      <c r="C79" s="4">
        <v>1680</v>
      </c>
      <c r="D79" s="28">
        <f>C79/E79</f>
        <v>210</v>
      </c>
      <c r="E79" s="9">
        <v>8</v>
      </c>
      <c r="F79" s="9">
        <v>6</v>
      </c>
      <c r="G79" s="82">
        <v>14.78</v>
      </c>
    </row>
    <row r="80" spans="1:7" s="38" customFormat="1" ht="25.15" customHeight="1">
      <c r="A80" s="4" t="s">
        <v>663</v>
      </c>
      <c r="B80" s="6" t="s">
        <v>698</v>
      </c>
      <c r="C80" s="4">
        <v>1280</v>
      </c>
      <c r="D80" s="28">
        <f>C80/E80</f>
        <v>160</v>
      </c>
      <c r="E80" s="9">
        <v>8</v>
      </c>
      <c r="F80" s="9">
        <v>6</v>
      </c>
      <c r="G80" s="82">
        <v>24.27</v>
      </c>
    </row>
    <row r="81" spans="1:7" s="38" customFormat="1" ht="25.15" customHeight="1">
      <c r="A81" s="4" t="s">
        <v>661</v>
      </c>
      <c r="B81" s="6" t="s">
        <v>699</v>
      </c>
      <c r="C81" s="4">
        <v>1600</v>
      </c>
      <c r="D81" s="28">
        <f>C81/E81</f>
        <v>200</v>
      </c>
      <c r="E81" s="9">
        <v>8</v>
      </c>
      <c r="F81" s="9">
        <v>6</v>
      </c>
      <c r="G81" s="82">
        <v>16.14</v>
      </c>
    </row>
    <row r="82" spans="1:7" s="38" customFormat="1" ht="25.15" customHeight="1">
      <c r="A82" s="4" t="s">
        <v>659</v>
      </c>
      <c r="B82" s="6" t="s">
        <v>700</v>
      </c>
      <c r="C82" s="4">
        <v>1440</v>
      </c>
      <c r="D82" s="28">
        <f>C82/E82</f>
        <v>180</v>
      </c>
      <c r="E82" s="9">
        <v>8</v>
      </c>
      <c r="F82" s="9">
        <v>6</v>
      </c>
      <c r="G82" s="82">
        <v>12.88</v>
      </c>
    </row>
    <row r="83" spans="1:7" s="38" customFormat="1" ht="25.15" customHeight="1">
      <c r="A83" s="4" t="s">
        <v>660</v>
      </c>
      <c r="B83" s="6" t="s">
        <v>701</v>
      </c>
      <c r="C83" s="4">
        <v>1640</v>
      </c>
      <c r="D83" s="28">
        <f>C83/E83</f>
        <v>205</v>
      </c>
      <c r="E83" s="9">
        <v>8</v>
      </c>
      <c r="F83" s="9">
        <v>6</v>
      </c>
      <c r="G83" s="82">
        <v>14.91</v>
      </c>
    </row>
    <row r="84" spans="1:7" s="38" customFormat="1" ht="25.15" customHeight="1">
      <c r="A84" s="4" t="s">
        <v>653</v>
      </c>
      <c r="B84" s="6" t="s">
        <v>702</v>
      </c>
      <c r="C84" s="4">
        <v>1300</v>
      </c>
      <c r="D84" s="28">
        <f>C84/E84</f>
        <v>144.44444444444446</v>
      </c>
      <c r="E84" s="9">
        <v>9</v>
      </c>
      <c r="F84" s="9">
        <v>6</v>
      </c>
      <c r="G84" s="82">
        <v>15.59</v>
      </c>
    </row>
    <row r="85" spans="1:7" s="38" customFormat="1" ht="25.15" customHeight="1">
      <c r="A85" s="4" t="s">
        <v>511</v>
      </c>
      <c r="B85" s="6" t="s">
        <v>512</v>
      </c>
      <c r="C85" s="4">
        <v>1050</v>
      </c>
      <c r="D85" s="28">
        <f>C85/E85</f>
        <v>175</v>
      </c>
      <c r="E85" s="9">
        <v>6</v>
      </c>
      <c r="F85" s="9">
        <v>6</v>
      </c>
      <c r="G85" s="82">
        <v>11.1</v>
      </c>
    </row>
    <row r="86" spans="1:7" s="38" customFormat="1" ht="25.15" customHeight="1">
      <c r="A86" s="4" t="s">
        <v>513</v>
      </c>
      <c r="B86" s="6" t="s">
        <v>514</v>
      </c>
      <c r="C86" s="4">
        <v>1200</v>
      </c>
      <c r="D86" s="28">
        <f>C86/E86</f>
        <v>240</v>
      </c>
      <c r="E86" s="9">
        <v>5</v>
      </c>
      <c r="F86" s="9">
        <v>6</v>
      </c>
      <c r="G86" s="82">
        <v>15.35</v>
      </c>
    </row>
    <row r="87" spans="1:7" s="38" customFormat="1" ht="25.15" customHeight="1">
      <c r="A87" s="4" t="s">
        <v>515</v>
      </c>
      <c r="B87" s="6" t="s">
        <v>516</v>
      </c>
      <c r="C87" s="4">
        <v>1500</v>
      </c>
      <c r="D87" s="28">
        <f>C87/E87</f>
        <v>166.66666666666666</v>
      </c>
      <c r="E87" s="9">
        <v>9</v>
      </c>
      <c r="F87" s="9">
        <v>6</v>
      </c>
      <c r="G87" s="82">
        <v>14.26</v>
      </c>
    </row>
    <row r="88" spans="1:7" s="38" customFormat="1" ht="25.15" customHeight="1">
      <c r="A88" s="4" t="s">
        <v>517</v>
      </c>
      <c r="B88" s="6" t="s">
        <v>518</v>
      </c>
      <c r="C88" s="4">
        <v>1800</v>
      </c>
      <c r="D88" s="28">
        <f>C88/E88</f>
        <v>200</v>
      </c>
      <c r="E88" s="9">
        <v>9</v>
      </c>
      <c r="F88" s="9">
        <v>6</v>
      </c>
      <c r="G88" s="82">
        <v>17.989999999999998</v>
      </c>
    </row>
    <row r="89" spans="1:7" s="38" customFormat="1" ht="25.15" customHeight="1">
      <c r="A89" s="4" t="s">
        <v>519</v>
      </c>
      <c r="B89" s="6" t="s">
        <v>520</v>
      </c>
      <c r="C89" s="4">
        <v>1520</v>
      </c>
      <c r="D89" s="28">
        <f>C89/E89</f>
        <v>168.88888888888889</v>
      </c>
      <c r="E89" s="9">
        <v>9</v>
      </c>
      <c r="F89" s="9">
        <v>6</v>
      </c>
      <c r="G89" s="82">
        <v>15.44</v>
      </c>
    </row>
    <row r="90" spans="1:7" s="38" customFormat="1" ht="25.15" customHeight="1">
      <c r="A90" s="4" t="s">
        <v>521</v>
      </c>
      <c r="B90" s="6" t="s">
        <v>522</v>
      </c>
      <c r="C90" s="4">
        <v>1250</v>
      </c>
      <c r="D90" s="28">
        <f>C90/E90</f>
        <v>138.88888888888889</v>
      </c>
      <c r="E90" s="9">
        <v>9</v>
      </c>
      <c r="F90" s="9">
        <v>6</v>
      </c>
      <c r="G90" s="82">
        <v>17.46</v>
      </c>
    </row>
    <row r="91" spans="1:7" s="38" customFormat="1" ht="25.15" customHeight="1">
      <c r="A91" s="4" t="s">
        <v>523</v>
      </c>
      <c r="B91" s="6" t="s">
        <v>524</v>
      </c>
      <c r="C91" s="4">
        <v>1370</v>
      </c>
      <c r="D91" s="28">
        <f>C91/E91</f>
        <v>152.22222222222223</v>
      </c>
      <c r="E91" s="9">
        <v>9</v>
      </c>
      <c r="F91" s="9">
        <v>6</v>
      </c>
      <c r="G91" s="82">
        <v>16.11</v>
      </c>
    </row>
    <row r="92" spans="1:7" s="38" customFormat="1" ht="25.15" customHeight="1">
      <c r="A92" s="4" t="s">
        <v>525</v>
      </c>
      <c r="B92" s="6" t="s">
        <v>526</v>
      </c>
      <c r="C92" s="4">
        <v>1350</v>
      </c>
      <c r="D92" s="28">
        <f>C92/E92</f>
        <v>150</v>
      </c>
      <c r="E92" s="9">
        <v>9</v>
      </c>
      <c r="F92" s="9">
        <v>6</v>
      </c>
      <c r="G92" s="82">
        <v>15.01</v>
      </c>
    </row>
    <row r="93" spans="1:7" s="38" customFormat="1" ht="25.15" customHeight="1">
      <c r="A93" s="4" t="s">
        <v>527</v>
      </c>
      <c r="B93" s="6" t="s">
        <v>528</v>
      </c>
      <c r="C93" s="4">
        <v>1250</v>
      </c>
      <c r="D93" s="28">
        <f>C93/E93</f>
        <v>138.88888888888889</v>
      </c>
      <c r="E93" s="9">
        <v>9</v>
      </c>
      <c r="F93" s="9">
        <v>6</v>
      </c>
      <c r="G93" s="82">
        <v>14.24</v>
      </c>
    </row>
    <row r="94" spans="1:7" ht="25.15" customHeight="1">
      <c r="A94" s="41" t="s">
        <v>529</v>
      </c>
      <c r="B94" s="42"/>
      <c r="C94" s="43"/>
      <c r="D94" s="43"/>
      <c r="E94" s="43"/>
      <c r="F94" s="44" t="s">
        <v>301</v>
      </c>
      <c r="G94" s="82">
        <v>0</v>
      </c>
    </row>
    <row r="95" spans="1:7" ht="25.15" customHeight="1">
      <c r="A95" s="4" t="s">
        <v>530</v>
      </c>
      <c r="B95" s="6" t="s">
        <v>531</v>
      </c>
      <c r="C95" s="4">
        <v>600</v>
      </c>
      <c r="D95" s="28">
        <f>C95/E95</f>
        <v>600</v>
      </c>
      <c r="E95" s="9">
        <v>1</v>
      </c>
      <c r="F95" s="9">
        <v>4</v>
      </c>
      <c r="G95" s="82">
        <v>9.8800000000000008</v>
      </c>
    </row>
    <row r="96" spans="1:7" ht="25.15" customHeight="1">
      <c r="A96" s="4" t="s">
        <v>532</v>
      </c>
      <c r="B96" s="6" t="s">
        <v>533</v>
      </c>
      <c r="C96" s="4">
        <v>600</v>
      </c>
      <c r="D96" s="28">
        <f>C96/E96</f>
        <v>600</v>
      </c>
      <c r="E96" s="9">
        <v>1</v>
      </c>
      <c r="F96" s="9">
        <v>9</v>
      </c>
      <c r="G96" s="82">
        <v>9.35</v>
      </c>
    </row>
    <row r="97" spans="1:7" ht="25.15" customHeight="1">
      <c r="A97" s="4" t="s">
        <v>534</v>
      </c>
      <c r="B97" s="6" t="s">
        <v>535</v>
      </c>
      <c r="C97" s="4">
        <v>600</v>
      </c>
      <c r="D97" s="28">
        <f>C97/E97</f>
        <v>600</v>
      </c>
      <c r="E97" s="9">
        <v>1</v>
      </c>
      <c r="F97" s="9">
        <v>9</v>
      </c>
      <c r="G97" s="82">
        <v>9.1300000000000008</v>
      </c>
    </row>
    <row r="98" spans="1:7" ht="25.15" customHeight="1">
      <c r="A98" s="4" t="s">
        <v>536</v>
      </c>
      <c r="B98" s="6" t="s">
        <v>537</v>
      </c>
      <c r="C98" s="4">
        <v>810</v>
      </c>
      <c r="D98" s="28">
        <f>C98/E98</f>
        <v>90</v>
      </c>
      <c r="E98" s="9">
        <v>9</v>
      </c>
      <c r="F98" s="9">
        <v>6</v>
      </c>
      <c r="G98" s="82">
        <v>15.9</v>
      </c>
    </row>
    <row r="99" spans="1:7" ht="25.15" customHeight="1">
      <c r="A99" s="4" t="s">
        <v>538</v>
      </c>
      <c r="B99" s="6" t="s">
        <v>539</v>
      </c>
      <c r="C99" s="4">
        <v>810</v>
      </c>
      <c r="D99" s="28">
        <f>C99/E99</f>
        <v>90</v>
      </c>
      <c r="E99" s="9">
        <v>9</v>
      </c>
      <c r="F99" s="9">
        <v>6</v>
      </c>
      <c r="G99" s="82">
        <v>14.15</v>
      </c>
    </row>
    <row r="100" spans="1:7" ht="25.15" customHeight="1">
      <c r="A100" s="4" t="s">
        <v>540</v>
      </c>
      <c r="B100" s="6" t="s">
        <v>541</v>
      </c>
      <c r="C100" s="4">
        <v>810</v>
      </c>
      <c r="D100" s="28">
        <f>C100/E100</f>
        <v>90</v>
      </c>
      <c r="E100" s="9">
        <v>9</v>
      </c>
      <c r="F100" s="9">
        <v>6</v>
      </c>
      <c r="G100" s="82">
        <v>14.13</v>
      </c>
    </row>
    <row r="101" spans="1:7" s="38" customFormat="1" ht="25.15" customHeight="1">
      <c r="A101" s="23" t="s">
        <v>542</v>
      </c>
      <c r="B101" s="24"/>
      <c r="C101" s="25"/>
      <c r="D101" s="25"/>
      <c r="E101" s="25"/>
      <c r="F101" s="26" t="s">
        <v>301</v>
      </c>
      <c r="G101" s="82">
        <v>0</v>
      </c>
    </row>
    <row r="102" spans="1:7" ht="30" customHeight="1">
      <c r="A102" s="4" t="s">
        <v>543</v>
      </c>
      <c r="B102" s="6" t="s">
        <v>544</v>
      </c>
      <c r="C102" s="4"/>
      <c r="D102" s="9" t="s">
        <v>666</v>
      </c>
      <c r="E102" s="9">
        <v>1</v>
      </c>
      <c r="F102" s="9">
        <v>6</v>
      </c>
      <c r="G102" s="82">
        <v>7.17</v>
      </c>
    </row>
    <row r="103" spans="1:7" ht="25.15" customHeight="1">
      <c r="A103" s="4" t="s">
        <v>545</v>
      </c>
      <c r="B103" s="6" t="s">
        <v>546</v>
      </c>
      <c r="C103" s="4"/>
      <c r="D103" s="9" t="s">
        <v>666</v>
      </c>
      <c r="E103" s="9">
        <v>1</v>
      </c>
      <c r="F103" s="9">
        <v>6</v>
      </c>
      <c r="G103" s="82">
        <v>3.91</v>
      </c>
    </row>
    <row r="104" spans="1:7" ht="30" customHeight="1">
      <c r="A104" s="23" t="s">
        <v>547</v>
      </c>
      <c r="B104" s="24"/>
      <c r="C104" s="25"/>
      <c r="D104" s="25"/>
      <c r="E104" s="25"/>
      <c r="F104" s="26" t="s">
        <v>301</v>
      </c>
      <c r="G104" s="82">
        <v>0</v>
      </c>
    </row>
    <row r="105" spans="1:7" ht="30" customHeight="1">
      <c r="A105" s="4" t="s">
        <v>548</v>
      </c>
      <c r="B105" s="6" t="s">
        <v>549</v>
      </c>
      <c r="C105" s="4"/>
      <c r="D105" s="9">
        <v>390</v>
      </c>
      <c r="E105" s="9">
        <v>1</v>
      </c>
      <c r="F105" s="9">
        <v>10</v>
      </c>
      <c r="G105" s="82">
        <v>2.48</v>
      </c>
    </row>
    <row r="106" spans="1:7" ht="25.15" customHeight="1">
      <c r="A106" s="4" t="s">
        <v>550</v>
      </c>
      <c r="B106" s="6" t="s">
        <v>551</v>
      </c>
      <c r="C106" s="4"/>
      <c r="D106" s="9">
        <v>325</v>
      </c>
      <c r="E106" s="9">
        <v>1</v>
      </c>
      <c r="F106" s="9">
        <v>10</v>
      </c>
      <c r="G106" s="82">
        <v>2.16</v>
      </c>
    </row>
    <row r="107" spans="1:7" ht="30" customHeight="1">
      <c r="A107" s="4" t="s">
        <v>552</v>
      </c>
      <c r="B107" s="6" t="s">
        <v>553</v>
      </c>
      <c r="C107" s="4"/>
      <c r="D107" s="9">
        <v>370</v>
      </c>
      <c r="E107" s="9">
        <v>1</v>
      </c>
      <c r="F107" s="9">
        <v>10</v>
      </c>
      <c r="G107" s="82">
        <v>2.29</v>
      </c>
    </row>
    <row r="108" spans="1:7" ht="25.15" customHeight="1">
      <c r="A108" s="4" t="s">
        <v>554</v>
      </c>
      <c r="B108" s="6" t="s">
        <v>555</v>
      </c>
      <c r="C108" s="4"/>
      <c r="D108" s="9">
        <v>185</v>
      </c>
      <c r="E108" s="9">
        <v>1</v>
      </c>
      <c r="F108" s="9">
        <v>15</v>
      </c>
      <c r="G108" s="82">
        <v>0.83</v>
      </c>
    </row>
    <row r="109" spans="1:7" ht="30" customHeight="1">
      <c r="A109" s="23" t="s">
        <v>387</v>
      </c>
      <c r="B109" s="24"/>
      <c r="C109" s="25"/>
      <c r="D109" s="25"/>
      <c r="E109" s="25"/>
      <c r="F109" s="26" t="s">
        <v>301</v>
      </c>
      <c r="G109" s="82">
        <v>0</v>
      </c>
    </row>
    <row r="110" spans="1:7" ht="30" customHeight="1">
      <c r="A110" s="4" t="s">
        <v>556</v>
      </c>
      <c r="B110" s="6" t="s">
        <v>557</v>
      </c>
      <c r="C110" s="4"/>
      <c r="D110" s="9"/>
      <c r="E110" s="9">
        <v>1</v>
      </c>
      <c r="F110" s="9">
        <v>10</v>
      </c>
      <c r="G110" s="82">
        <v>6.67</v>
      </c>
    </row>
    <row r="111" spans="1:7" ht="30" customHeight="1">
      <c r="A111" s="4" t="s">
        <v>558</v>
      </c>
      <c r="B111" s="6" t="s">
        <v>559</v>
      </c>
      <c r="C111" s="4"/>
      <c r="D111" s="9"/>
      <c r="E111" s="9">
        <v>400</v>
      </c>
      <c r="F111" s="9">
        <v>400</v>
      </c>
      <c r="G111" s="82">
        <v>0.02</v>
      </c>
    </row>
    <row r="112" spans="1:7" ht="30" customHeight="1">
      <c r="A112" s="4" t="s">
        <v>560</v>
      </c>
      <c r="B112" s="6" t="s">
        <v>561</v>
      </c>
      <c r="C112" s="4"/>
      <c r="D112" s="9"/>
      <c r="E112" s="9">
        <v>400</v>
      </c>
      <c r="F112" s="9">
        <v>400</v>
      </c>
      <c r="G112" s="82">
        <v>0.02</v>
      </c>
    </row>
    <row r="113" spans="1:6">
      <c r="A113" s="45"/>
      <c r="B113" s="46"/>
      <c r="C113" s="47"/>
    </row>
    <row r="114" spans="1:6">
      <c r="A114" s="45"/>
      <c r="B114" s="48"/>
      <c r="C114" s="49"/>
    </row>
    <row r="115" spans="1:6">
      <c r="A115" s="45"/>
      <c r="B115" s="50"/>
      <c r="C115" s="51"/>
    </row>
    <row r="116" spans="1:6">
      <c r="A116" s="45"/>
      <c r="B116" s="50"/>
      <c r="C116" s="51"/>
    </row>
    <row r="117" spans="1:6">
      <c r="A117" s="45"/>
      <c r="B117" s="69"/>
      <c r="D117" s="14"/>
      <c r="E117" s="14"/>
      <c r="F117" s="14"/>
    </row>
    <row r="118" spans="1:6">
      <c r="B118" s="47"/>
      <c r="C118" s="47"/>
      <c r="D118" s="52"/>
    </row>
    <row r="119" spans="1:6" s="17" customFormat="1">
      <c r="A119" s="45"/>
      <c r="B119" s="51"/>
      <c r="C119" s="51"/>
      <c r="D119" s="53"/>
      <c r="E119" s="18"/>
      <c r="F119" s="18"/>
    </row>
  </sheetData>
  <autoFilter ref="A6:F117"/>
  <conditionalFormatting sqref="A9">
    <cfRule type="duplicateValues" dxfId="9" priority="7"/>
  </conditionalFormatting>
  <conditionalFormatting sqref="A11">
    <cfRule type="duplicateValues" dxfId="8" priority="6"/>
  </conditionalFormatting>
  <conditionalFormatting sqref="A23 A17:A21">
    <cfRule type="duplicateValues" dxfId="7" priority="10"/>
  </conditionalFormatting>
  <conditionalFormatting sqref="A27">
    <cfRule type="duplicateValues" dxfId="6" priority="4"/>
  </conditionalFormatting>
  <conditionalFormatting sqref="A28">
    <cfRule type="duplicateValues" dxfId="5" priority="11"/>
  </conditionalFormatting>
  <conditionalFormatting sqref="A30">
    <cfRule type="duplicateValues" dxfId="4" priority="8"/>
  </conditionalFormatting>
  <conditionalFormatting sqref="A31:A33">
    <cfRule type="duplicateValues" dxfId="3" priority="9"/>
  </conditionalFormatting>
  <conditionalFormatting sqref="A35">
    <cfRule type="duplicateValues" dxfId="2" priority="12"/>
  </conditionalFormatting>
  <conditionalFormatting sqref="A36">
    <cfRule type="duplicateValues" dxfId="1" priority="3"/>
  </conditionalFormatting>
  <conditionalFormatting sqref="A62">
    <cfRule type="duplicateValues" dxfId="0" priority="5"/>
  </conditionalFormatting>
  <printOptions horizontalCentered="1"/>
  <pageMargins left="0.23622047244094491" right="0.23622047244094491" top="0.39370078740157483" bottom="0.39370078740157483" header="0.31496062992125984" footer="0.31496062992125984"/>
  <pageSetup paperSize="9" scale="55" fitToHeight="3" orientation="portrait" r:id="rId1"/>
  <headerFooter>
    <oddFooter>&amp;C
Sayfa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2">
    <tabColor rgb="FFFF0000"/>
  </sheetPr>
  <dimension ref="A1:I45"/>
  <sheetViews>
    <sheetView showGridLines="0" zoomScale="90" zoomScaleNormal="90" zoomScaleSheetLayoutView="70" workbookViewId="0">
      <pane ySplit="6" topLeftCell="A40" activePane="bottomLeft" state="frozen"/>
      <selection pane="bottomLeft" activeCell="C41" sqref="C41:D46"/>
    </sheetView>
  </sheetViews>
  <sheetFormatPr defaultColWidth="9.125" defaultRowHeight="18"/>
  <cols>
    <col min="1" max="1" width="3.875" style="14" customWidth="1"/>
    <col min="2" max="2" width="3.25" style="14" customWidth="1"/>
    <col min="3" max="3" width="10.75" style="14" customWidth="1"/>
    <col min="4" max="4" width="54.75" style="15" customWidth="1"/>
    <col min="5" max="5" width="12.25" style="15" customWidth="1"/>
    <col min="6" max="6" width="10.25" style="16" customWidth="1"/>
    <col min="7" max="7" width="11" style="18" customWidth="1"/>
    <col min="8" max="8" width="8.25" style="18" customWidth="1"/>
    <col min="9" max="16384" width="9.125" style="14"/>
  </cols>
  <sheetData>
    <row r="1" spans="1:9" ht="7.15" customHeight="1"/>
    <row r="2" spans="1:9" ht="35.450000000000003" customHeight="1">
      <c r="B2" s="15"/>
      <c r="G2" s="14"/>
      <c r="H2" s="19"/>
    </row>
    <row r="3" spans="1:9">
      <c r="C3" s="66"/>
      <c r="G3" s="14"/>
      <c r="H3" s="14"/>
    </row>
    <row r="4" spans="1:9" ht="12.6" customHeight="1">
      <c r="G4" s="67"/>
    </row>
    <row r="5" spans="1:9" ht="20.25">
      <c r="A5" s="14" t="s">
        <v>712</v>
      </c>
      <c r="C5" s="68"/>
      <c r="F5" s="20"/>
      <c r="G5" s="21"/>
      <c r="H5" s="21"/>
      <c r="I5" s="78" t="s">
        <v>711</v>
      </c>
    </row>
    <row r="6" spans="1:9" ht="73.900000000000006" customHeight="1">
      <c r="C6" s="22" t="s">
        <v>10</v>
      </c>
      <c r="D6" s="22" t="s">
        <v>11</v>
      </c>
      <c r="E6" s="22" t="s">
        <v>664</v>
      </c>
      <c r="F6" s="22" t="s">
        <v>665</v>
      </c>
      <c r="G6" s="22" t="s">
        <v>562</v>
      </c>
      <c r="H6" s="22" t="s">
        <v>12</v>
      </c>
      <c r="I6" s="79" t="s">
        <v>710</v>
      </c>
    </row>
    <row r="7" spans="1:9" ht="25.15" customHeight="1">
      <c r="C7" s="23" t="s">
        <v>667</v>
      </c>
      <c r="D7" s="24"/>
      <c r="E7" s="25"/>
      <c r="F7" s="25"/>
      <c r="G7" s="25"/>
      <c r="H7" s="26" t="s">
        <v>301</v>
      </c>
    </row>
    <row r="8" spans="1:9" ht="25.15" customHeight="1">
      <c r="C8" s="4" t="s">
        <v>563</v>
      </c>
      <c r="D8" s="6" t="s">
        <v>564</v>
      </c>
      <c r="E8" s="4">
        <v>1440</v>
      </c>
      <c r="F8" s="28">
        <f>E8/G8</f>
        <v>40</v>
      </c>
      <c r="G8" s="9">
        <v>36</v>
      </c>
      <c r="H8" s="9">
        <v>6</v>
      </c>
      <c r="I8" s="82">
        <v>11.95</v>
      </c>
    </row>
    <row r="9" spans="1:9" ht="25.15" customHeight="1">
      <c r="C9" s="4" t="s">
        <v>565</v>
      </c>
      <c r="D9" s="6" t="s">
        <v>566</v>
      </c>
      <c r="E9" s="4">
        <v>1440</v>
      </c>
      <c r="F9" s="28">
        <f>E9/G9</f>
        <v>40</v>
      </c>
      <c r="G9" s="9">
        <v>36</v>
      </c>
      <c r="H9" s="9">
        <v>6</v>
      </c>
      <c r="I9" s="82">
        <v>10.220000000000001</v>
      </c>
    </row>
    <row r="10" spans="1:9" ht="25.15" customHeight="1">
      <c r="C10" s="4" t="s">
        <v>567</v>
      </c>
      <c r="D10" s="6" t="s">
        <v>568</v>
      </c>
      <c r="E10" s="4">
        <v>1680</v>
      </c>
      <c r="F10" s="28">
        <f>E10/G10</f>
        <v>46.666666666666664</v>
      </c>
      <c r="G10" s="9">
        <v>36</v>
      </c>
      <c r="H10" s="9">
        <v>6</v>
      </c>
      <c r="I10" s="82">
        <v>11.42</v>
      </c>
    </row>
    <row r="11" spans="1:9" ht="25.15" customHeight="1">
      <c r="C11" s="4" t="s">
        <v>569</v>
      </c>
      <c r="D11" s="6" t="s">
        <v>570</v>
      </c>
      <c r="E11" s="4">
        <v>1380</v>
      </c>
      <c r="F11" s="28">
        <f>E11/G11</f>
        <v>38.333333333333336</v>
      </c>
      <c r="G11" s="9">
        <v>36</v>
      </c>
      <c r="H11" s="9">
        <v>6</v>
      </c>
      <c r="I11" s="82">
        <v>10.52</v>
      </c>
    </row>
    <row r="12" spans="1:9" ht="25.15" customHeight="1">
      <c r="C12" s="4" t="s">
        <v>571</v>
      </c>
      <c r="D12" s="6" t="s">
        <v>572</v>
      </c>
      <c r="E12" s="4">
        <v>1370</v>
      </c>
      <c r="F12" s="28">
        <f>E12/G12</f>
        <v>42.8125</v>
      </c>
      <c r="G12" s="9">
        <v>32</v>
      </c>
      <c r="H12" s="9">
        <v>6</v>
      </c>
      <c r="I12" s="82">
        <v>11.1</v>
      </c>
    </row>
    <row r="13" spans="1:9" ht="25.15" customHeight="1">
      <c r="C13" s="39" t="s">
        <v>573</v>
      </c>
      <c r="D13" s="40" t="s">
        <v>574</v>
      </c>
      <c r="E13" s="4">
        <v>1440</v>
      </c>
      <c r="F13" s="28">
        <f>E13/G13</f>
        <v>40</v>
      </c>
      <c r="G13" s="54">
        <v>36</v>
      </c>
      <c r="H13" s="54">
        <v>6</v>
      </c>
      <c r="I13" s="82">
        <v>19.2</v>
      </c>
    </row>
    <row r="14" spans="1:9" ht="25.15" customHeight="1">
      <c r="C14" s="4" t="s">
        <v>575</v>
      </c>
      <c r="D14" s="6" t="s">
        <v>576</v>
      </c>
      <c r="E14" s="4">
        <v>1440</v>
      </c>
      <c r="F14" s="28">
        <f>E14/G14</f>
        <v>40</v>
      </c>
      <c r="G14" s="9">
        <v>36</v>
      </c>
      <c r="H14" s="9">
        <v>6</v>
      </c>
      <c r="I14" s="82">
        <v>9.4</v>
      </c>
    </row>
    <row r="15" spans="1:9" ht="25.15" customHeight="1">
      <c r="C15" s="4" t="s">
        <v>577</v>
      </c>
      <c r="D15" s="6" t="s">
        <v>578</v>
      </c>
      <c r="E15" s="4">
        <v>2150</v>
      </c>
      <c r="F15" s="28">
        <f>E15/G15</f>
        <v>67.1875</v>
      </c>
      <c r="G15" s="9">
        <v>32</v>
      </c>
      <c r="H15" s="9">
        <v>6</v>
      </c>
      <c r="I15" s="82">
        <v>16.12</v>
      </c>
    </row>
    <row r="16" spans="1:9" ht="25.15" customHeight="1">
      <c r="C16" s="4" t="s">
        <v>579</v>
      </c>
      <c r="D16" s="6" t="s">
        <v>580</v>
      </c>
      <c r="E16" s="4">
        <v>1450</v>
      </c>
      <c r="F16" s="28">
        <f>E16/G16</f>
        <v>45.3125</v>
      </c>
      <c r="G16" s="9">
        <v>32</v>
      </c>
      <c r="H16" s="9">
        <v>6</v>
      </c>
      <c r="I16" s="82">
        <v>21.3</v>
      </c>
    </row>
    <row r="17" spans="3:9" ht="25.15" customHeight="1">
      <c r="C17" s="4" t="s">
        <v>581</v>
      </c>
      <c r="D17" s="6" t="s">
        <v>582</v>
      </c>
      <c r="E17" s="4">
        <v>1730</v>
      </c>
      <c r="F17" s="28">
        <f>E17/G17</f>
        <v>54.0625</v>
      </c>
      <c r="G17" s="9">
        <v>32</v>
      </c>
      <c r="H17" s="9">
        <v>6</v>
      </c>
      <c r="I17" s="82">
        <v>13.38</v>
      </c>
    </row>
    <row r="18" spans="3:9" ht="25.15" customHeight="1">
      <c r="C18" s="4" t="s">
        <v>583</v>
      </c>
      <c r="D18" s="6" t="s">
        <v>584</v>
      </c>
      <c r="E18" s="4">
        <v>1068</v>
      </c>
      <c r="F18" s="28">
        <f>E18/G18</f>
        <v>33.375</v>
      </c>
      <c r="G18" s="9">
        <v>32</v>
      </c>
      <c r="H18" s="9">
        <v>6</v>
      </c>
      <c r="I18" s="82">
        <v>10.3</v>
      </c>
    </row>
    <row r="19" spans="3:9" ht="25.15" customHeight="1">
      <c r="C19" s="39" t="s">
        <v>585</v>
      </c>
      <c r="D19" s="40" t="s">
        <v>586</v>
      </c>
      <c r="E19" s="4">
        <v>864</v>
      </c>
      <c r="F19" s="28">
        <f>E19/G19</f>
        <v>27</v>
      </c>
      <c r="G19" s="54">
        <v>32</v>
      </c>
      <c r="H19" s="54">
        <v>6</v>
      </c>
      <c r="I19" s="82">
        <v>7.97</v>
      </c>
    </row>
    <row r="20" spans="3:9" ht="25.15" customHeight="1">
      <c r="C20" s="4" t="s">
        <v>587</v>
      </c>
      <c r="D20" s="6" t="s">
        <v>588</v>
      </c>
      <c r="E20" s="4">
        <v>1560</v>
      </c>
      <c r="F20" s="28">
        <f>E20/G20</f>
        <v>43.333333333333336</v>
      </c>
      <c r="G20" s="9">
        <v>36</v>
      </c>
      <c r="H20" s="9">
        <v>6</v>
      </c>
      <c r="I20" s="82">
        <v>14.48</v>
      </c>
    </row>
    <row r="21" spans="3:9" ht="25.15" customHeight="1">
      <c r="C21" s="4" t="s">
        <v>589</v>
      </c>
      <c r="D21" s="6" t="s">
        <v>590</v>
      </c>
      <c r="E21" s="4">
        <v>1350</v>
      </c>
      <c r="F21" s="28">
        <f>E21/G21</f>
        <v>37.5</v>
      </c>
      <c r="G21" s="9">
        <v>36</v>
      </c>
      <c r="H21" s="9">
        <v>6</v>
      </c>
      <c r="I21" s="82">
        <v>13.98</v>
      </c>
    </row>
    <row r="22" spans="3:9" ht="25.15" customHeight="1">
      <c r="C22" s="4" t="s">
        <v>591</v>
      </c>
      <c r="D22" s="6" t="s">
        <v>592</v>
      </c>
      <c r="E22" s="4">
        <v>1020</v>
      </c>
      <c r="F22" s="28">
        <f>E22/G22</f>
        <v>31.875</v>
      </c>
      <c r="G22" s="9">
        <v>32</v>
      </c>
      <c r="H22" s="9">
        <v>6</v>
      </c>
      <c r="I22" s="82">
        <v>11.92</v>
      </c>
    </row>
    <row r="23" spans="3:9" ht="25.15" customHeight="1">
      <c r="C23" s="4" t="s">
        <v>593</v>
      </c>
      <c r="D23" s="6" t="s">
        <v>594</v>
      </c>
      <c r="E23" s="4">
        <v>1020</v>
      </c>
      <c r="F23" s="28">
        <f>E23/G23</f>
        <v>31.875</v>
      </c>
      <c r="G23" s="9">
        <v>32</v>
      </c>
      <c r="H23" s="9">
        <v>6</v>
      </c>
      <c r="I23" s="82">
        <v>11.7</v>
      </c>
    </row>
    <row r="24" spans="3:9" ht="25.15" customHeight="1">
      <c r="C24" s="4" t="s">
        <v>595</v>
      </c>
      <c r="D24" s="6" t="s">
        <v>596</v>
      </c>
      <c r="E24" s="4">
        <v>608</v>
      </c>
      <c r="F24" s="28">
        <f>E24/G24</f>
        <v>38</v>
      </c>
      <c r="G24" s="9">
        <v>16</v>
      </c>
      <c r="H24" s="9">
        <v>6</v>
      </c>
      <c r="I24" s="82">
        <v>7.6</v>
      </c>
    </row>
    <row r="25" spans="3:9" ht="25.15" customHeight="1">
      <c r="C25" s="4" t="s">
        <v>597</v>
      </c>
      <c r="D25" s="6" t="s">
        <v>598</v>
      </c>
      <c r="E25" s="4">
        <v>760</v>
      </c>
      <c r="F25" s="28">
        <f>E25/G25</f>
        <v>47.5</v>
      </c>
      <c r="G25" s="9">
        <v>16</v>
      </c>
      <c r="H25" s="9">
        <v>6</v>
      </c>
      <c r="I25" s="82">
        <v>8.1</v>
      </c>
    </row>
    <row r="26" spans="3:9" ht="25.15" customHeight="1">
      <c r="C26" s="23" t="s">
        <v>672</v>
      </c>
      <c r="D26" s="24"/>
      <c r="E26" s="25"/>
      <c r="F26" s="25"/>
      <c r="G26" s="25"/>
      <c r="H26" s="26"/>
      <c r="I26" s="82">
        <v>0</v>
      </c>
    </row>
    <row r="27" spans="3:9" ht="25.15" customHeight="1">
      <c r="C27" s="4" t="s">
        <v>599</v>
      </c>
      <c r="D27" s="6" t="s">
        <v>600</v>
      </c>
      <c r="E27" s="4">
        <v>810</v>
      </c>
      <c r="F27" s="28">
        <f>ROUNDDOWN(E27/G27,0)</f>
        <v>50</v>
      </c>
      <c r="G27" s="9">
        <v>16</v>
      </c>
      <c r="H27" s="9">
        <v>6</v>
      </c>
      <c r="I27" s="82">
        <v>10.07</v>
      </c>
    </row>
    <row r="28" spans="3:9" ht="25.15" customHeight="1">
      <c r="C28" s="4" t="s">
        <v>601</v>
      </c>
      <c r="D28" s="6" t="s">
        <v>602</v>
      </c>
      <c r="E28" s="4">
        <v>810</v>
      </c>
      <c r="F28" s="28">
        <f>ROUNDDOWN(E28/G28,0)</f>
        <v>50</v>
      </c>
      <c r="G28" s="9">
        <v>16</v>
      </c>
      <c r="H28" s="9">
        <v>6</v>
      </c>
      <c r="I28" s="82">
        <v>10</v>
      </c>
    </row>
    <row r="29" spans="3:9" ht="25.15" customHeight="1">
      <c r="C29" s="4" t="s">
        <v>603</v>
      </c>
      <c r="D29" s="6" t="s">
        <v>604</v>
      </c>
      <c r="E29" s="4">
        <v>810</v>
      </c>
      <c r="F29" s="28">
        <f>ROUNDDOWN(E29/G29,0)</f>
        <v>50</v>
      </c>
      <c r="G29" s="9">
        <v>16</v>
      </c>
      <c r="H29" s="9">
        <v>6</v>
      </c>
      <c r="I29" s="82">
        <v>11</v>
      </c>
    </row>
    <row r="30" spans="3:9" ht="25.15" customHeight="1">
      <c r="C30" s="4" t="s">
        <v>605</v>
      </c>
      <c r="D30" s="6" t="s">
        <v>606</v>
      </c>
      <c r="E30" s="4">
        <v>810</v>
      </c>
      <c r="F30" s="28">
        <f>ROUNDDOWN(E30/G30,0)</f>
        <v>50</v>
      </c>
      <c r="G30" s="9">
        <v>16</v>
      </c>
      <c r="H30" s="9">
        <v>6</v>
      </c>
      <c r="I30" s="82">
        <v>11.05</v>
      </c>
    </row>
    <row r="31" spans="3:9" ht="25.15" customHeight="1">
      <c r="C31" s="4" t="s">
        <v>607</v>
      </c>
      <c r="D31" s="6" t="s">
        <v>608</v>
      </c>
      <c r="E31" s="4">
        <v>810</v>
      </c>
      <c r="F31" s="28">
        <f>ROUNDDOWN(E31/G31,0)</f>
        <v>50</v>
      </c>
      <c r="G31" s="9">
        <v>16</v>
      </c>
      <c r="H31" s="9">
        <v>6</v>
      </c>
      <c r="I31" s="82">
        <v>9.8800000000000008</v>
      </c>
    </row>
    <row r="32" spans="3:9" ht="25.15" customHeight="1">
      <c r="C32" s="39" t="s">
        <v>609</v>
      </c>
      <c r="D32" s="40" t="s">
        <v>610</v>
      </c>
      <c r="E32" s="4">
        <v>880</v>
      </c>
      <c r="F32" s="28">
        <f>ROUNDDOWN(E32/G32,0)</f>
        <v>55</v>
      </c>
      <c r="G32" s="54">
        <v>16</v>
      </c>
      <c r="H32" s="54">
        <v>6</v>
      </c>
      <c r="I32" s="82">
        <v>11.17</v>
      </c>
    </row>
    <row r="33" spans="3:9" ht="25.15" customHeight="1">
      <c r="C33" s="4" t="s">
        <v>611</v>
      </c>
      <c r="D33" s="6" t="s">
        <v>612</v>
      </c>
      <c r="E33" s="4">
        <v>1160</v>
      </c>
      <c r="F33" s="28">
        <f>ROUNDDOWN(E33/G33,0)</f>
        <v>72</v>
      </c>
      <c r="G33" s="9">
        <v>16</v>
      </c>
      <c r="H33" s="9">
        <v>6</v>
      </c>
      <c r="I33" s="82">
        <v>12.88</v>
      </c>
    </row>
    <row r="34" spans="3:9" ht="25.15" customHeight="1">
      <c r="C34" s="4" t="s">
        <v>613</v>
      </c>
      <c r="D34" s="6" t="s">
        <v>614</v>
      </c>
      <c r="E34" s="4">
        <v>880</v>
      </c>
      <c r="F34" s="28">
        <f>ROUNDDOWN(E34/G34,0)</f>
        <v>55</v>
      </c>
      <c r="G34" s="9">
        <v>16</v>
      </c>
      <c r="H34" s="9">
        <v>6</v>
      </c>
      <c r="I34" s="82">
        <v>10.18</v>
      </c>
    </row>
    <row r="35" spans="3:9" ht="25.15" customHeight="1">
      <c r="C35" s="4" t="s">
        <v>615</v>
      </c>
      <c r="D35" s="6" t="s">
        <v>616</v>
      </c>
      <c r="E35" s="4">
        <v>1160</v>
      </c>
      <c r="F35" s="28">
        <f>ROUNDDOWN(E35/G35,0)</f>
        <v>72</v>
      </c>
      <c r="G35" s="9">
        <v>16</v>
      </c>
      <c r="H35" s="9">
        <v>6</v>
      </c>
      <c r="I35" s="82">
        <v>12.88</v>
      </c>
    </row>
    <row r="36" spans="3:9" ht="25.15" customHeight="1">
      <c r="C36" s="4" t="s">
        <v>617</v>
      </c>
      <c r="D36" s="6" t="s">
        <v>618</v>
      </c>
      <c r="E36" s="4">
        <v>960</v>
      </c>
      <c r="F36" s="28">
        <f>ROUNDDOWN(E36/G36,0)</f>
        <v>60</v>
      </c>
      <c r="G36" s="9">
        <v>16</v>
      </c>
      <c r="H36" s="9">
        <v>6</v>
      </c>
      <c r="I36" s="82">
        <v>11.47</v>
      </c>
    </row>
    <row r="37" spans="3:9" ht="25.15" customHeight="1">
      <c r="C37" s="4" t="s">
        <v>619</v>
      </c>
      <c r="D37" s="6" t="s">
        <v>620</v>
      </c>
      <c r="E37" s="4">
        <v>1250</v>
      </c>
      <c r="F37" s="28">
        <f>ROUNDDOWN(E37/G37,0)</f>
        <v>78</v>
      </c>
      <c r="G37" s="9">
        <v>16</v>
      </c>
      <c r="H37" s="9">
        <v>6</v>
      </c>
      <c r="I37" s="82">
        <v>9.33</v>
      </c>
    </row>
    <row r="38" spans="3:9" ht="25.15" customHeight="1">
      <c r="C38" s="39" t="s">
        <v>621</v>
      </c>
      <c r="D38" s="40" t="s">
        <v>622</v>
      </c>
      <c r="E38" s="4">
        <v>880</v>
      </c>
      <c r="F38" s="28">
        <f>ROUNDDOWN(E38/G38,0)</f>
        <v>55</v>
      </c>
      <c r="G38" s="54">
        <v>16</v>
      </c>
      <c r="H38" s="54">
        <v>6</v>
      </c>
      <c r="I38" s="82">
        <v>11</v>
      </c>
    </row>
    <row r="39" spans="3:9" ht="25.15" customHeight="1">
      <c r="C39" s="4" t="s">
        <v>623</v>
      </c>
      <c r="D39" s="6" t="s">
        <v>624</v>
      </c>
      <c r="E39" s="4">
        <v>880</v>
      </c>
      <c r="F39" s="28">
        <f>ROUNDDOWN(E39/G39,0)</f>
        <v>55</v>
      </c>
      <c r="G39" s="9">
        <v>16</v>
      </c>
      <c r="H39" s="9">
        <v>6</v>
      </c>
      <c r="I39" s="82">
        <v>10.67</v>
      </c>
    </row>
    <row r="40" spans="3:9">
      <c r="I40" s="83"/>
    </row>
    <row r="41" spans="3:9">
      <c r="C41" s="45"/>
      <c r="D41" s="46"/>
      <c r="E41" s="47"/>
      <c r="I41" s="83"/>
    </row>
    <row r="42" spans="3:9">
      <c r="C42" s="45"/>
      <c r="D42" s="48"/>
      <c r="E42" s="49"/>
      <c r="I42" s="83"/>
    </row>
    <row r="43" spans="3:9">
      <c r="C43" s="45"/>
      <c r="D43" s="50"/>
      <c r="E43" s="51"/>
      <c r="I43" s="83"/>
    </row>
    <row r="44" spans="3:9">
      <c r="C44" s="45"/>
      <c r="D44" s="50"/>
      <c r="E44" s="51"/>
      <c r="I44" s="83"/>
    </row>
    <row r="45" spans="3:9">
      <c r="C45" s="45"/>
      <c r="D45" s="69"/>
      <c r="F45" s="14"/>
      <c r="G45" s="14"/>
      <c r="H45" s="14"/>
      <c r="I45" s="83"/>
    </row>
  </sheetData>
  <autoFilter ref="B6:H45"/>
  <printOptions horizontalCentered="1"/>
  <pageMargins left="7.874015748031496E-2" right="7.874015748031496E-2" top="0.11811023622047245" bottom="3.937007874015748E-2" header="0.15748031496062992" footer="0.15748031496062992"/>
  <pageSetup paperSize="9" scale="74" fitToHeight="4" orientation="portrait" r:id="rId1"/>
  <headerFooter>
    <oddFooter>&amp;C
Sayfa &amp;P /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3">
    <tabColor rgb="FFFF0000"/>
    <pageSetUpPr fitToPage="1"/>
  </sheetPr>
  <dimension ref="A1:I28"/>
  <sheetViews>
    <sheetView showGridLines="0" zoomScale="90" zoomScaleNormal="90" zoomScaleSheetLayoutView="70" workbookViewId="0">
      <pane ySplit="6" topLeftCell="A19" activePane="bottomLeft" state="frozen"/>
      <selection pane="bottomLeft" activeCell="D27" sqref="D27"/>
    </sheetView>
  </sheetViews>
  <sheetFormatPr defaultColWidth="9.125" defaultRowHeight="18"/>
  <cols>
    <col min="1" max="1" width="3.875" style="14" customWidth="1"/>
    <col min="2" max="2" width="6.125" style="14" customWidth="1"/>
    <col min="3" max="3" width="10.75" style="14" customWidth="1"/>
    <col min="4" max="4" width="55.625" style="15" customWidth="1"/>
    <col min="5" max="5" width="12.25" style="15" customWidth="1"/>
    <col min="6" max="6" width="10.25" style="16" customWidth="1"/>
    <col min="7" max="7" width="11.125" style="18" customWidth="1"/>
    <col min="8" max="8" width="10.25" style="18" bestFit="1" customWidth="1"/>
    <col min="9" max="16384" width="9.125" style="14"/>
  </cols>
  <sheetData>
    <row r="1" spans="2:9" ht="7.15" customHeight="1"/>
    <row r="2" spans="2:9" ht="35.450000000000003" customHeight="1">
      <c r="B2" s="15"/>
      <c r="G2" s="14"/>
      <c r="H2" s="19"/>
    </row>
    <row r="3" spans="2:9">
      <c r="C3" s="66"/>
      <c r="G3" s="14"/>
      <c r="H3" s="14"/>
    </row>
    <row r="4" spans="2:9" ht="12.6" customHeight="1">
      <c r="G4" s="67"/>
    </row>
    <row r="5" spans="2:9" ht="20.25">
      <c r="C5" s="68"/>
      <c r="F5" s="20"/>
      <c r="G5" s="21"/>
      <c r="H5" s="21"/>
      <c r="I5" s="78"/>
    </row>
    <row r="6" spans="2:9" ht="73.900000000000006" customHeight="1">
      <c r="C6" s="22" t="s">
        <v>10</v>
      </c>
      <c r="D6" s="22" t="s">
        <v>11</v>
      </c>
      <c r="E6" s="22" t="s">
        <v>664</v>
      </c>
      <c r="F6" s="22" t="s">
        <v>665</v>
      </c>
      <c r="G6" s="22" t="s">
        <v>562</v>
      </c>
      <c r="H6" s="22" t="s">
        <v>12</v>
      </c>
      <c r="I6" s="79" t="s">
        <v>710</v>
      </c>
    </row>
    <row r="7" spans="2:9" ht="25.15" customHeight="1">
      <c r="C7" s="23" t="s">
        <v>667</v>
      </c>
      <c r="D7" s="24"/>
      <c r="E7" s="25"/>
      <c r="F7" s="25"/>
      <c r="G7" s="25"/>
      <c r="H7" s="26" t="s">
        <v>301</v>
      </c>
    </row>
    <row r="8" spans="2:9" ht="25.15" customHeight="1">
      <c r="C8" s="4" t="s">
        <v>625</v>
      </c>
      <c r="D8" s="6" t="s">
        <v>626</v>
      </c>
      <c r="E8" s="4">
        <v>600</v>
      </c>
      <c r="F8" s="28">
        <f>E8/G8</f>
        <v>600</v>
      </c>
      <c r="G8" s="9">
        <v>1</v>
      </c>
      <c r="H8" s="9">
        <v>12</v>
      </c>
      <c r="I8" s="82">
        <v>5.73</v>
      </c>
    </row>
    <row r="9" spans="2:9" ht="25.15" customHeight="1">
      <c r="C9" s="4" t="s">
        <v>627</v>
      </c>
      <c r="D9" s="6" t="s">
        <v>628</v>
      </c>
      <c r="E9" s="4">
        <v>600</v>
      </c>
      <c r="F9" s="28">
        <f>E9/G9</f>
        <v>600</v>
      </c>
      <c r="G9" s="9">
        <v>1</v>
      </c>
      <c r="H9" s="9">
        <v>12</v>
      </c>
      <c r="I9" s="82">
        <v>5.73</v>
      </c>
    </row>
    <row r="10" spans="2:9" ht="25.15" customHeight="1">
      <c r="C10" s="4" t="s">
        <v>674</v>
      </c>
      <c r="D10" s="6" t="s">
        <v>675</v>
      </c>
      <c r="E10" s="4">
        <v>500</v>
      </c>
      <c r="F10" s="28">
        <v>500</v>
      </c>
      <c r="G10" s="9">
        <v>1</v>
      </c>
      <c r="H10" s="9">
        <v>12</v>
      </c>
      <c r="I10" s="82">
        <v>7.55</v>
      </c>
    </row>
    <row r="11" spans="2:9" ht="25.15" customHeight="1">
      <c r="C11" s="4" t="s">
        <v>629</v>
      </c>
      <c r="D11" s="6" t="s">
        <v>630</v>
      </c>
      <c r="E11" s="4">
        <v>600</v>
      </c>
      <c r="F11" s="28">
        <f>E11/G11</f>
        <v>600</v>
      </c>
      <c r="G11" s="9">
        <v>1</v>
      </c>
      <c r="H11" s="9">
        <v>9</v>
      </c>
      <c r="I11" s="82">
        <v>5.47</v>
      </c>
    </row>
    <row r="12" spans="2:9" ht="25.15" customHeight="1">
      <c r="C12" s="4" t="s">
        <v>631</v>
      </c>
      <c r="D12" s="6" t="s">
        <v>632</v>
      </c>
      <c r="E12" s="4">
        <v>600</v>
      </c>
      <c r="F12" s="28">
        <f>E12/G12</f>
        <v>600</v>
      </c>
      <c r="G12" s="9">
        <v>1</v>
      </c>
      <c r="H12" s="9">
        <v>9</v>
      </c>
      <c r="I12" s="82">
        <v>8.07</v>
      </c>
    </row>
    <row r="13" spans="2:9" ht="25.15" customHeight="1">
      <c r="C13" s="4" t="s">
        <v>633</v>
      </c>
      <c r="D13" s="6" t="s">
        <v>634</v>
      </c>
      <c r="E13" s="4">
        <v>600</v>
      </c>
      <c r="F13" s="28">
        <f>E13/G13</f>
        <v>600</v>
      </c>
      <c r="G13" s="9">
        <v>1</v>
      </c>
      <c r="H13" s="9">
        <v>9</v>
      </c>
      <c r="I13" s="82">
        <v>6.97</v>
      </c>
    </row>
    <row r="14" spans="2:9" ht="25.15" customHeight="1">
      <c r="C14" s="39" t="s">
        <v>635</v>
      </c>
      <c r="D14" s="40" t="s">
        <v>636</v>
      </c>
      <c r="E14" s="4">
        <v>665</v>
      </c>
      <c r="F14" s="28">
        <f>E14/G14</f>
        <v>665</v>
      </c>
      <c r="G14" s="54">
        <v>1</v>
      </c>
      <c r="H14" s="54">
        <v>12</v>
      </c>
      <c r="I14" s="82">
        <v>6.48</v>
      </c>
    </row>
    <row r="15" spans="2:9" ht="25.15" customHeight="1">
      <c r="C15" s="39" t="s">
        <v>637</v>
      </c>
      <c r="D15" s="40" t="s">
        <v>638</v>
      </c>
      <c r="E15" s="4">
        <v>600</v>
      </c>
      <c r="F15" s="28">
        <v>600</v>
      </c>
      <c r="G15" s="54">
        <v>1</v>
      </c>
      <c r="H15" s="54">
        <v>12</v>
      </c>
      <c r="I15" s="82">
        <v>6.9</v>
      </c>
    </row>
    <row r="16" spans="2:9" ht="25.15" customHeight="1">
      <c r="C16" s="4" t="s">
        <v>639</v>
      </c>
      <c r="D16" s="6" t="s">
        <v>640</v>
      </c>
      <c r="E16" s="4">
        <v>630</v>
      </c>
      <c r="F16" s="28">
        <f>E16/G16</f>
        <v>630</v>
      </c>
      <c r="G16" s="9">
        <v>1</v>
      </c>
      <c r="H16" s="9">
        <v>12</v>
      </c>
      <c r="I16" s="82">
        <v>5.95</v>
      </c>
    </row>
    <row r="17" spans="1:9" ht="25.15" customHeight="1">
      <c r="C17" s="4" t="s">
        <v>641</v>
      </c>
      <c r="D17" s="6" t="s">
        <v>642</v>
      </c>
      <c r="E17" s="4">
        <v>500</v>
      </c>
      <c r="F17" s="28">
        <f>E17/G17</f>
        <v>500</v>
      </c>
      <c r="G17" s="9">
        <v>1</v>
      </c>
      <c r="H17" s="9">
        <v>16</v>
      </c>
      <c r="I17" s="82">
        <v>9.3699999999999992</v>
      </c>
    </row>
    <row r="18" spans="1:9" ht="25.15" customHeight="1">
      <c r="C18" s="4" t="s">
        <v>643</v>
      </c>
      <c r="D18" s="6" t="s">
        <v>644</v>
      </c>
      <c r="E18" s="4">
        <v>650</v>
      </c>
      <c r="F18" s="28">
        <f>E18/G18</f>
        <v>650</v>
      </c>
      <c r="G18" s="9">
        <v>1</v>
      </c>
      <c r="H18" s="9">
        <v>12</v>
      </c>
      <c r="I18" s="82">
        <v>5.7</v>
      </c>
    </row>
    <row r="19" spans="1:9" ht="25.15" customHeight="1">
      <c r="C19" s="4" t="s">
        <v>645</v>
      </c>
      <c r="D19" s="6" t="s">
        <v>646</v>
      </c>
      <c r="E19" s="4">
        <v>630</v>
      </c>
      <c r="F19" s="28">
        <f>E19/G19</f>
        <v>630</v>
      </c>
      <c r="G19" s="9">
        <v>1</v>
      </c>
      <c r="H19" s="9">
        <v>12</v>
      </c>
      <c r="I19" s="82">
        <v>9.5</v>
      </c>
    </row>
    <row r="20" spans="1:9" ht="25.15" customHeight="1">
      <c r="C20" s="4" t="s">
        <v>647</v>
      </c>
      <c r="D20" s="6" t="s">
        <v>648</v>
      </c>
      <c r="E20" s="4">
        <v>565</v>
      </c>
      <c r="F20" s="28">
        <f>E20/G20</f>
        <v>565</v>
      </c>
      <c r="G20" s="9">
        <v>1</v>
      </c>
      <c r="H20" s="9">
        <v>12</v>
      </c>
      <c r="I20" s="82">
        <v>6.7</v>
      </c>
    </row>
    <row r="21" spans="1:9" ht="25.15" customHeight="1">
      <c r="C21" s="4" t="s">
        <v>649</v>
      </c>
      <c r="D21" s="6" t="s">
        <v>650</v>
      </c>
      <c r="E21" s="4">
        <v>600</v>
      </c>
      <c r="F21" s="28">
        <f>E21/G21</f>
        <v>600</v>
      </c>
      <c r="G21" s="11">
        <v>1</v>
      </c>
      <c r="H21" s="11">
        <v>12</v>
      </c>
      <c r="I21" s="82">
        <v>6.12</v>
      </c>
    </row>
    <row r="22" spans="1:9">
      <c r="C22" s="45"/>
      <c r="D22" s="46"/>
      <c r="E22" s="47"/>
    </row>
    <row r="23" spans="1:9">
      <c r="C23" s="45"/>
      <c r="D23" s="48"/>
      <c r="E23" s="49"/>
    </row>
    <row r="24" spans="1:9">
      <c r="C24" s="45"/>
      <c r="D24" s="50"/>
      <c r="E24" s="51"/>
    </row>
    <row r="25" spans="1:9">
      <c r="C25" s="45"/>
      <c r="D25" s="50"/>
      <c r="E25" s="51"/>
    </row>
    <row r="26" spans="1:9">
      <c r="C26" s="45"/>
      <c r="D26" s="69"/>
      <c r="F26" s="14"/>
      <c r="G26" s="14"/>
      <c r="H26" s="14"/>
    </row>
    <row r="27" spans="1:9">
      <c r="D27" s="47"/>
      <c r="E27" s="47"/>
      <c r="F27" s="52"/>
    </row>
    <row r="28" spans="1:9" s="17" customFormat="1">
      <c r="A28" s="14"/>
      <c r="B28" s="14"/>
      <c r="C28" s="45"/>
      <c r="D28" s="51"/>
      <c r="E28" s="51"/>
      <c r="F28" s="53"/>
      <c r="G28" s="18"/>
      <c r="H28" s="18"/>
    </row>
  </sheetData>
  <autoFilter ref="B6:H26"/>
  <printOptions horizontalCentered="1"/>
  <pageMargins left="7.874015748031496E-2" right="7.874015748031496E-2" top="0.19685039370078741" bottom="7.874015748031496E-2" header="0.15748031496062992" footer="0.15748031496062992"/>
  <pageSetup paperSize="9" scale="55" fitToHeight="4" orientation="portrait" r:id="rId1"/>
  <headerFooter>
    <oddFooter>&amp;C
Sayfa &amp;P /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5D1D8C-85A7-430F-B377-9F3C02BE8E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8</vt:i4>
      </vt:variant>
    </vt:vector>
  </HeadingPairs>
  <TitlesOfParts>
    <vt:vector size="12" baseType="lpstr">
      <vt:lpstr>Kahve</vt:lpstr>
      <vt:lpstr>Pasta</vt:lpstr>
      <vt:lpstr>Otel</vt:lpstr>
      <vt:lpstr>Market</vt:lpstr>
      <vt:lpstr>Kahve!Yazdırma_Alanı</vt:lpstr>
      <vt:lpstr>Market!Yazdırma_Alanı</vt:lpstr>
      <vt:lpstr>Otel!Yazdırma_Alanı</vt:lpstr>
      <vt:lpstr>Pasta!Yazdırma_Alanı</vt:lpstr>
      <vt:lpstr>Kahve!Yazdırma_Başlıkları</vt:lpstr>
      <vt:lpstr>Market!Yazdırma_Başlıkları</vt:lpstr>
      <vt:lpstr>Otel!Yazdırma_Başlıkları</vt:lpstr>
      <vt:lpstr>Pasta!Yazdırma_Başlıkları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Süleyman Aklan</dc:creator>
  <cp:lastModifiedBy>Bilgiislem</cp:lastModifiedBy>
  <cp:lastPrinted>2026-03-06T21:20:00Z</cp:lastPrinted>
  <dcterms:created xsi:type="dcterms:W3CDTF">2025-07-12T08:04:52Z</dcterms:created>
  <dcterms:modified xsi:type="dcterms:W3CDTF">2026-04-10T12:09:00Z</dcterms:modified>
</cp:coreProperties>
</file>